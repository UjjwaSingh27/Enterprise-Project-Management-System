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tslin-my.sharepoint.com/personal/163594_tatasteel_com/Documents/2_Group wise Project Dashboard-Chief Review/9_L&amp;U-Project Dashboard for Chief Review/"/>
    </mc:Choice>
  </mc:AlternateContent>
  <xr:revisionPtr revIDLastSave="267" documentId="8_{FE5E2CC7-31EB-4EEE-A9AD-5CB0170AC4B9}" xr6:coauthVersionLast="47" xr6:coauthVersionMax="47" xr10:uidLastSave="{D0B858A7-A6E7-41DA-A4AE-02B724305884}"/>
  <bookViews>
    <workbookView xWindow="-110" yWindow="-110" windowWidth="19420" windowHeight="11500" firstSheet="1" activeTab="1" xr2:uid="{70762DBB-E197-407C-9C00-84EF5640483A}"/>
  </bookViews>
  <sheets>
    <sheet name="Sheet1" sheetId="3" r:id="rId1"/>
    <sheet name="L&amp;U-TSJ" sheetId="1" r:id="rId2"/>
    <sheet name="Activity Plan &amp; DOW sample" sheetId="2" r:id="rId3"/>
  </sheets>
  <definedNames>
    <definedName name="_xlnm._FilterDatabase" localSheetId="1" hidden="1">'L&amp;U-TSJ'!$A$1:$Q$26</definedName>
  </definedNames>
  <calcPr calcId="191028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25" i="1"/>
  <c r="F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6" i="1"/>
  <c r="F3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6" i="1"/>
  <c r="G2" i="1"/>
  <c r="F2" i="1"/>
  <c r="D55" i="2"/>
  <c r="E54" i="2"/>
  <c r="E53" i="2"/>
  <c r="E52" i="2"/>
  <c r="E51" i="2"/>
  <c r="E50" i="2"/>
  <c r="E49" i="2"/>
  <c r="E48" i="2"/>
  <c r="E47" i="2"/>
  <c r="E46" i="2"/>
  <c r="G45" i="2"/>
  <c r="E45" i="2"/>
  <c r="G44" i="2"/>
  <c r="E44" i="2"/>
  <c r="G43" i="2"/>
  <c r="E43" i="2"/>
  <c r="E5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tc={799553B6-DF58-4033-9166-6449F8182C21}</author>
    <author>tc={C607905A-5C18-4015-89F7-F852A4327295}</author>
    <author>tc={9CC10B96-EBBC-47D1-A1D6-DA31E4B7C7F6}</author>
    <author>tc={819BC66F-8F86-4B6D-93B9-9FD77AA99EB0}</author>
  </authors>
  <commentList>
    <comment ref="V4" authorId="0" shapeId="0" xr:uid="{799553B6-DF58-4033-9166-6449F8182C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 to Different Strategy </t>
      </text>
    </comment>
    <comment ref="V10" authorId="1" shapeId="0" xr:uid="{C607905A-5C18-4015-89F7-F852A43272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Kept </t>
      </text>
    </comment>
    <comment ref="V21" authorId="2" shapeId="0" xr:uid="{9CC10B96-EBBC-47D1-A1D6-DA31E4B7C7F6}">
      <text>
        <t>[Threaded comment]
Your version of Excel allows you to read this threaded comment; however, any edits to it will get removed if the file is opened in a newer version of Excel. Learn more: https://go.microsoft.com/fwlink/?linkid=870924
Comment:
    Disuss with JMK for dropping</t>
      </text>
    </comment>
    <comment ref="V31" authorId="3" shapeId="0" xr:uid="{819BC66F-8F86-4B6D-93B9-9FD77AA9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KPI &amp; KPM To be Kept</t>
      </text>
    </comment>
  </commentList>
</comments>
</file>

<file path=xl/sharedStrings.xml><?xml version="1.0" encoding="utf-8"?>
<sst xmlns="http://schemas.openxmlformats.org/spreadsheetml/2006/main" count="459" uniqueCount="227">
  <si>
    <t>Row Labels</t>
  </si>
  <si>
    <t>Count of Project Status (On-Track, Delayed, Completed, Awaiting Sanction)</t>
  </si>
  <si>
    <t>Awaiting Sanction</t>
  </si>
  <si>
    <t>Completed</t>
  </si>
  <si>
    <t>Delayed</t>
  </si>
  <si>
    <t>On-Track</t>
  </si>
  <si>
    <t>Grand Total</t>
  </si>
  <si>
    <t>SL. NO.</t>
  </si>
  <si>
    <t>PROJECT TITLE/ ACTIVITY DESCRIPTION</t>
  </si>
  <si>
    <t xml:space="preserve">PROJECT NO. ((R&amp;D, NON-R&amp;D, ASPIRE, Capex Scheme No, Others)/ Product or System under OASA Support </t>
  </si>
  <si>
    <t>Project Category (Capex, Shikhar, SIP, GB, DM, External)</t>
  </si>
  <si>
    <t>ABP Strategy No.</t>
  </si>
  <si>
    <t>KPM</t>
  </si>
  <si>
    <t>UoM</t>
  </si>
  <si>
    <t>Capex Scheme Value (in Cr)</t>
  </si>
  <si>
    <t>AREA</t>
  </si>
  <si>
    <t>PROFESSIONALS INVOLVED (WRITE '(L)' TO INDICATE THE LEADER)</t>
  </si>
  <si>
    <t>PLANNED START DATE</t>
  </si>
  <si>
    <t>PLANNED COMPLETION DATE</t>
  </si>
  <si>
    <t>ACTUAL COMPLETION DATE</t>
  </si>
  <si>
    <t>Shikhar Stage (For Shikhar Project)</t>
  </si>
  <si>
    <t>Project Status (On-Track, Delayed, Completed, Awaiting Sanction)</t>
  </si>
  <si>
    <t xml:space="preserve">CURRENT MILESTONE </t>
  </si>
  <si>
    <t>REMARKS</t>
  </si>
  <si>
    <t>Strategy</t>
  </si>
  <si>
    <t>UOM</t>
  </si>
  <si>
    <t>PQCDSME</t>
  </si>
  <si>
    <t>DLS system upgrade for JCAPCPL</t>
  </si>
  <si>
    <t>External</t>
  </si>
  <si>
    <t xml:space="preserve">1.2 Upgrade of obsolete systems </t>
  </si>
  <si>
    <t>JCAPCPL</t>
  </si>
  <si>
    <t>Sambhav Prashit Khapale</t>
  </si>
  <si>
    <t>May'26</t>
  </si>
  <si>
    <t>Dec`26</t>
  </si>
  <si>
    <t>1.1 Improving adverse KPI's in the (2x2 matrix) system framework</t>
  </si>
  <si>
    <t>% improvement in adverse KPI's</t>
  </si>
  <si>
    <t>%</t>
  </si>
  <si>
    <t>CTTS System Upgrade for JCAPCPL</t>
  </si>
  <si>
    <r>
      <t xml:space="preserve">no </t>
    </r>
    <r>
      <rPr>
        <sz val="12"/>
        <color rgb="FF000000"/>
        <rFont val="Aptos"/>
        <family val="2"/>
        <charset val="1"/>
      </rPr>
      <t>IC0000000217</t>
    </r>
  </si>
  <si>
    <t>Prashant Kumar/Nikhil Sharma</t>
  </si>
  <si>
    <t>No of systems</t>
  </si>
  <si>
    <t>Nos</t>
  </si>
  <si>
    <t>AIRYMS  for Ludhiana Project</t>
  </si>
  <si>
    <t>CAPEX</t>
  </si>
  <si>
    <t xml:space="preserve">1.3 Ensuring time compliance for all customer facing projects in JILE &amp; Other Projects </t>
  </si>
  <si>
    <t>LUDHIANA</t>
  </si>
  <si>
    <t>Priya Ranjan Mahapatra/Aditya Gautam</t>
  </si>
  <si>
    <t>Oct'26</t>
  </si>
  <si>
    <t>Jul`26</t>
  </si>
  <si>
    <t>% of project completion on time</t>
  </si>
  <si>
    <t>Android HHT APP for CYMS TSCR</t>
  </si>
  <si>
    <t>DM</t>
  </si>
  <si>
    <t>TSCR</t>
  </si>
  <si>
    <t>Prashant kumar</t>
  </si>
  <si>
    <t>Sep'26</t>
  </si>
  <si>
    <t>Feb`27</t>
  </si>
  <si>
    <t>1.4 No of new systems &amp; solutions added in DM for sustenance</t>
  </si>
  <si>
    <t xml:space="preserve">No of systems/Projects </t>
  </si>
  <si>
    <t>Android HHT APP for CTTS CRM</t>
  </si>
  <si>
    <t>CRM</t>
  </si>
  <si>
    <t>Nikhil Sharma</t>
  </si>
  <si>
    <t xml:space="preserve">1.5 Automation Review Meeting/ Process Insights to Senior Management </t>
  </si>
  <si>
    <t xml:space="preserve">Quarterly Review Meeting at  Chief Level  with Quarterly Report </t>
  </si>
  <si>
    <t>Android HHT APP for CTTS CRM BARA</t>
  </si>
  <si>
    <t>CRM-BARA</t>
  </si>
  <si>
    <t>Priya Ranjan Mohapatra</t>
  </si>
  <si>
    <t>JULY'26</t>
  </si>
  <si>
    <t xml:space="preserve">1.6 Compliane to OFI from Chiefs KPI </t>
  </si>
  <si>
    <t xml:space="preserve">Action Against of OFI </t>
  </si>
  <si>
    <t>Android HHT APP for CTTS JCAPCPL</t>
  </si>
  <si>
    <t>June'26</t>
  </si>
  <si>
    <t>2.1 Shikhar Savings in Automation - D4 Value</t>
  </si>
  <si>
    <t>INR Cr</t>
  </si>
  <si>
    <t>INR</t>
  </si>
  <si>
    <t>AI - for REBAR Yard Management</t>
  </si>
  <si>
    <t xml:space="preserve">3.1 New Process Optimization Solutions </t>
  </si>
  <si>
    <t>Priya Ranjan Mahapatra</t>
  </si>
  <si>
    <t>Sep`26</t>
  </si>
  <si>
    <t>Continuous addition/deletion/extension</t>
  </si>
  <si>
    <t xml:space="preserve">2.2 Savings through improvement (GB+SIP) projects </t>
  </si>
  <si>
    <t>AI - for CYMS</t>
  </si>
  <si>
    <t>TSJ-HSM</t>
  </si>
  <si>
    <t>Nov`26</t>
  </si>
  <si>
    <t>No. Of solutions</t>
  </si>
  <si>
    <t>Auto Delay capture and Line down alarm in CDL1</t>
  </si>
  <si>
    <t>SHIKHAR25/IDEA/28375</t>
  </si>
  <si>
    <t>Sambhav Prashit Kaphle</t>
  </si>
  <si>
    <t>Apr'26</t>
  </si>
  <si>
    <t>May`26</t>
  </si>
  <si>
    <t>3.2 Horizontal Deployment of In house solutions - Including  40MnT</t>
  </si>
  <si>
    <t>No. of Solutions</t>
  </si>
  <si>
    <t>Enhancement of CDL 1 AUTOMASS UPDATION</t>
  </si>
  <si>
    <t>Aditya Gautam/Sambhav Prashit Kaphle</t>
  </si>
  <si>
    <t>Aug`26</t>
  </si>
  <si>
    <t>3.3 Deployment of Bought - out solutions - Including 40MnT</t>
  </si>
  <si>
    <t>AI for CTTS</t>
  </si>
  <si>
    <t>Nov'26</t>
  </si>
  <si>
    <t>3.4 Deployment of System Integration  &amp; IOT solutions.</t>
  </si>
  <si>
    <t>CO-IOT coverage for TSL</t>
  </si>
  <si>
    <t>TSI</t>
  </si>
  <si>
    <t>Urvashi Kumari Chaudhury</t>
  </si>
  <si>
    <t>4.1 Publication/ acceptance of papers in international journals</t>
  </si>
  <si>
    <t>Papers accepted</t>
  </si>
  <si>
    <t>Copilot: Asset Management Prescriptive model for anomalies detected in rotating equipment</t>
  </si>
  <si>
    <t>SHIKHAR</t>
  </si>
  <si>
    <t>TBD</t>
  </si>
  <si>
    <t>TSJ</t>
  </si>
  <si>
    <t>nikhil sharma/Sambhav</t>
  </si>
  <si>
    <t>April'26</t>
  </si>
  <si>
    <t>4.2 Acceptance of papers in inhouse journals and conferences/seminars</t>
  </si>
  <si>
    <t>HML INTEGRATED EYE</t>
  </si>
  <si>
    <t>SHIKHAR25/IDEA/27674</t>
  </si>
  <si>
    <t>Aditya Gautam/Urvashi Kumari Chaudhury</t>
  </si>
  <si>
    <t>4.3 Submission of patents / copyrights to TSL, IP Cell</t>
  </si>
  <si>
    <t>Patents/copyrights submitted</t>
  </si>
  <si>
    <t xml:space="preserve"> Development of algorithms for Remote Dynamic Balancing based on coefficient of influence for fans (other than Vessel ID Fan, where there is requirement of mass addition). </t>
  </si>
  <si>
    <t>DMAIC</t>
  </si>
  <si>
    <t>Sambhav/Nikhil</t>
  </si>
  <si>
    <t>Jul'26</t>
  </si>
  <si>
    <t>Dec`27</t>
  </si>
  <si>
    <t>4.4 New Prototypes developed (Projects under R&amp;D Corpus)</t>
  </si>
  <si>
    <t>Number of projects</t>
  </si>
  <si>
    <t>Detection of periodic frequency components in vibration spectrum &amp; matching with known defect frequency</t>
  </si>
  <si>
    <t>Jan`27</t>
  </si>
  <si>
    <t>4.5 Exploration of  technologies relevant for Steel industry</t>
  </si>
  <si>
    <t>Technologies explored</t>
  </si>
  <si>
    <t>AIRYMS for NINL</t>
  </si>
  <si>
    <t>NINL</t>
  </si>
  <si>
    <t>Dec'26</t>
  </si>
  <si>
    <t xml:space="preserve">4.5 80% of Automation Involved in AI/VA/ML projects </t>
  </si>
  <si>
    <t xml:space="preserve">No Of Professionals Leading AI Projects </t>
  </si>
  <si>
    <t xml:space="preserve">Nos </t>
  </si>
  <si>
    <t>CTTS for TCIL</t>
  </si>
  <si>
    <t>TCIL</t>
  </si>
  <si>
    <t>Nikhil shama/Prashant Kumar</t>
  </si>
  <si>
    <t>4.6 Research &amp; Innovation accolades (Innovista, BRICS, ANQ etc)</t>
  </si>
  <si>
    <t>Number of accolades</t>
  </si>
  <si>
    <t>CTTS for CRCW extension(HRPGL)</t>
  </si>
  <si>
    <t>CRCW</t>
  </si>
  <si>
    <t>Prashant Kumar</t>
  </si>
  <si>
    <t xml:space="preserve">4.7 Technical upskilling - through Provided platforms (EdNext ) -No of hours, 100 %Coverage. </t>
  </si>
  <si>
    <t>No of Hours</t>
  </si>
  <si>
    <t>SRT -  New IOT Device Configuration, Dashboard and alert</t>
  </si>
  <si>
    <t>Avir Mondal</t>
  </si>
  <si>
    <t xml:space="preserve">5.1 Compliance to Annexure- 9 audit of contractors </t>
  </si>
  <si>
    <t>% Compliance</t>
  </si>
  <si>
    <t>CO -IOT Gas sensor across location Configuration and Dashboard and alert management</t>
  </si>
  <si>
    <t>Nov`27</t>
  </si>
  <si>
    <t>5.2 Compliance to identified EHSMP&amp; Environment  projects</t>
  </si>
  <si>
    <t>% compliance</t>
  </si>
  <si>
    <t>Temperature-Humidity IOT sensor Configuration, Dashboard and alert</t>
  </si>
  <si>
    <t xml:space="preserve">Departmental AIC Meetings </t>
  </si>
  <si>
    <t xml:space="preserve">No Of GEMBA &amp; Line Walks </t>
  </si>
  <si>
    <t>indigenous IOT vibration Sensor Configuration, Dashboard Model and alert</t>
  </si>
  <si>
    <t xml:space="preserve">5.3 E Permit &amp; CWF Compliance </t>
  </si>
  <si>
    <t>5.4 Cross Functional Visit (4 Nos per month)</t>
  </si>
  <si>
    <t xml:space="preserve">No of Visit/Gemba &amp; Line Walks </t>
  </si>
  <si>
    <t xml:space="preserve">6.1 - TFS usage compliance (For Inhouse Soln) To be Merged with 6.2, 6.2 shall remain </t>
  </si>
  <si>
    <t>6.2 -  Implementation of  SQA index for all JILE projects (Project milestones compliance)</t>
  </si>
  <si>
    <t>SQA score</t>
  </si>
  <si>
    <t>% score</t>
  </si>
  <si>
    <t xml:space="preserve"> 6.3Compliance to TSL audits (internal DM &amp; external).</t>
  </si>
  <si>
    <t xml:space="preserve">6.4 Compliance to Data Office Initiatives (Ex Sensor  to SAPS reports ) KPI &amp; KPM to be discussed (90% of auto posting of Data to SAP through Pipeline ) </t>
  </si>
  <si>
    <t xml:space="preserve">% compliance </t>
  </si>
  <si>
    <t xml:space="preserve">7.1  Appreciation through Steel Icons </t>
  </si>
  <si>
    <t>Budget utilization</t>
  </si>
  <si>
    <t>7.2  Appreciation through Shabaash</t>
  </si>
  <si>
    <t>7.3 Volunteerism - Portal of Purpose ( 4 hrs login/professional)</t>
  </si>
  <si>
    <t>7.4 Get together for Fun &amp;Team building activities</t>
  </si>
  <si>
    <t>No of sessions</t>
  </si>
  <si>
    <t>Activity Plan and DOW sample format
Agencies:- Scheme Owner, Scheme Executors, Procurement, BU, Vendor</t>
  </si>
  <si>
    <t>No</t>
  </si>
  <si>
    <t xml:space="preserve">ACTIVITIES LIST (List of Activities from Project Plan Document (Development Methodology) &amp; Quality Plan)                     </t>
  </si>
  <si>
    <t xml:space="preserve">From Date of Sanction of Scheme </t>
  </si>
  <si>
    <t>RESPONSIBILITY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</si>
  <si>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</si>
  <si>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</si>
  <si>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</si>
  <si>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</si>
  <si>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</si>
  <si>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</si>
  <si>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</si>
  <si>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</si>
  <si>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</si>
  <si>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</si>
  <si>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</si>
  <si>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</si>
  <si>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Vendor</t>
  </si>
  <si>
    <t>HML</t>
  </si>
  <si>
    <t>EQMS</t>
  </si>
  <si>
    <t>AUT</t>
  </si>
  <si>
    <t>WEEK</t>
  </si>
  <si>
    <t>Scheme Sanction RFQ AND P.O.</t>
  </si>
  <si>
    <t>P</t>
  </si>
  <si>
    <t>Offer</t>
  </si>
  <si>
    <t>A</t>
  </si>
  <si>
    <t>R</t>
  </si>
  <si>
    <t>DOCUMENTATION BY VENDOR</t>
  </si>
  <si>
    <t xml:space="preserve"> LOCO ELECTRONICS</t>
  </si>
  <si>
    <t>HAND HELD REMOTE</t>
  </si>
  <si>
    <t>INSTALLATION SCHEDULE</t>
  </si>
  <si>
    <t>FMEA , SAFETY &amp; OPN</t>
  </si>
  <si>
    <t>C</t>
  </si>
  <si>
    <t>DELIVERY OF ITEMS</t>
  </si>
  <si>
    <t>Part Delivery in 3/4 phases</t>
  </si>
  <si>
    <t>INSTALLATION(See  Schedule)</t>
  </si>
  <si>
    <t>See Installation Schedule</t>
  </si>
  <si>
    <t>CLEARANCES AND PERMITS</t>
  </si>
  <si>
    <t>LOCO DRIVE INTERFACE</t>
  </si>
  <si>
    <t>P/R</t>
  </si>
  <si>
    <t>TX/RX</t>
  </si>
  <si>
    <t>FAT</t>
  </si>
  <si>
    <t>COMMISSIONING &amp; Handover</t>
  </si>
  <si>
    <t>3/4 Loco every phase</t>
  </si>
  <si>
    <t>TRAINING</t>
  </si>
  <si>
    <t>AS PER PO</t>
  </si>
  <si>
    <t>AMC</t>
  </si>
  <si>
    <t>Existing AMC /CMC</t>
  </si>
  <si>
    <t>Daily Management /Certify</t>
  </si>
  <si>
    <t>CAPA/ MOC</t>
  </si>
  <si>
    <t>P- PLANNED</t>
  </si>
  <si>
    <t>A-Actual</t>
  </si>
  <si>
    <t>1.LD clauses to be  incorporated in the P.O. 
2.Longer Lead time requested by Vendor due to import of several components .
3.Phased Delivery and Payment to vendor on Milestone completion
4.AMC order in place after successful commissioning.</t>
  </si>
  <si>
    <t>LEGENDS:-
P- PREPARE &amp; SUPPLY  A - APPROVE  C- CERTIFY  R- REVIEW 
AMC/CMC- ANNUAL OR COMPREHENSIVE MAINTENANCE CONTRACT</t>
  </si>
  <si>
    <t>Month</t>
  </si>
  <si>
    <t>Plan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</si>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</sst>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b/>
      <sz val="1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theme="0"/>
      <name val="Aptos Narrow"/>
      <family val="2"/>
    </font>
    <font>
      <sz val="10"/>
      <color rgb="FF000000"/>
      <name val="Arial Narrow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name val="Calibri"/>
      <family val="2"/>
    </font>
    <font>
      <sz val="12"/>
      <color rgb="FF000000"/>
      <name val="Aptos"/>
      <family val="2"/>
      <charset val="1"/>
    </font>
    <font>
      <b/>
      <sz val="10"/>
      <color theme="1"/>
      <name val="Arial Narrow"/>
      <family val="2"/>
    </font>
    <font>
      <sz val="9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8000"/>
      </left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/>
  </cellStyleXfs>
  <cellXfs count="17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7" fillId="5" borderId="2" xfId="0" applyFont="1" applyFill="1" applyBorder="1"/>
    <xf numFmtId="0" fontId="7" fillId="6" borderId="2" xfId="0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2" xfId="0" applyFont="1" applyBorder="1"/>
    <xf numFmtId="16" fontId="0" fillId="0" borderId="2" xfId="0" applyNumberFormat="1" applyBorder="1"/>
    <xf numFmtId="0" fontId="13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9" borderId="2" xfId="0" applyFont="1" applyFill="1" applyBorder="1"/>
    <xf numFmtId="0" fontId="16" fillId="9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8" borderId="2" xfId="0" applyFill="1" applyBorder="1"/>
    <xf numFmtId="0" fontId="0" fillId="0" borderId="8" xfId="0" applyBorder="1"/>
    <xf numFmtId="0" fontId="9" fillId="8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3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17" fillId="8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7" fillId="8" borderId="2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top"/>
    </xf>
    <xf numFmtId="0" fontId="14" fillId="8" borderId="2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10" borderId="2" xfId="0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17" fontId="14" fillId="3" borderId="2" xfId="0" applyNumberFormat="1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2" xfId="1" applyFont="1" applyBorder="1" applyAlignment="1">
      <alignment horizontal="left" vertical="center" wrapText="1"/>
    </xf>
    <xf numFmtId="0" fontId="23" fillId="7" borderId="1" xfId="1" applyFont="1" applyFill="1" applyBorder="1" applyAlignment="1">
      <alignment horizontal="left" vertical="center" wrapText="1"/>
    </xf>
    <xf numFmtId="0" fontId="21" fillId="0" borderId="1" xfId="1" applyFont="1" applyBorder="1" applyAlignment="1">
      <alignment horizontal="left" vertical="center" wrapText="1"/>
    </xf>
    <xf numFmtId="0" fontId="21" fillId="0" borderId="11" xfId="1" applyFont="1" applyBorder="1" applyAlignment="1">
      <alignment horizontal="left" vertical="center" wrapText="1"/>
    </xf>
    <xf numFmtId="0" fontId="21" fillId="0" borderId="9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left" vertical="center" wrapText="1"/>
    </xf>
    <xf numFmtId="0" fontId="21" fillId="0" borderId="10" xfId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/>
    </xf>
    <xf numFmtId="0" fontId="21" fillId="7" borderId="1" xfId="1" applyFont="1" applyFill="1" applyBorder="1" applyAlignment="1">
      <alignment horizontal="left" vertical="center" wrapText="1"/>
    </xf>
    <xf numFmtId="9" fontId="21" fillId="0" borderId="1" xfId="1" applyNumberFormat="1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wrapText="1"/>
    </xf>
    <xf numFmtId="0" fontId="25" fillId="11" borderId="13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7" fillId="11" borderId="12" xfId="0" applyFont="1" applyFill="1" applyBorder="1" applyAlignment="1">
      <alignment horizontal="center" vertical="center" wrapText="1"/>
    </xf>
    <xf numFmtId="0" fontId="27" fillId="11" borderId="12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5" fillId="11" borderId="16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7" fillId="13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25" fillId="11" borderId="15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31" fillId="0" borderId="9" xfId="0" applyFont="1" applyBorder="1" applyAlignment="1">
      <alignment vertical="center" wrapText="1"/>
    </xf>
    <xf numFmtId="0" fontId="21" fillId="0" borderId="2" xfId="1" applyFont="1" applyBorder="1" applyAlignment="1">
      <alignment horizontal="left" vertical="center"/>
    </xf>
    <xf numFmtId="0" fontId="21" fillId="0" borderId="10" xfId="1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 wrapText="1"/>
    </xf>
    <xf numFmtId="0" fontId="21" fillId="0" borderId="11" xfId="1" applyFont="1" applyBorder="1" applyAlignment="1">
      <alignment horizontal="left" vertical="center"/>
    </xf>
    <xf numFmtId="0" fontId="21" fillId="0" borderId="9" xfId="1" applyFont="1" applyBorder="1" applyAlignment="1">
      <alignment horizontal="left" vertical="center"/>
    </xf>
    <xf numFmtId="0" fontId="22" fillId="0" borderId="2" xfId="1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wrapText="1"/>
    </xf>
    <xf numFmtId="0" fontId="17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7" fillId="8" borderId="2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left" vertical="top" wrapText="1"/>
    </xf>
    <xf numFmtId="0" fontId="17" fillId="0" borderId="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9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/>
    </xf>
    <xf numFmtId="17" fontId="1" fillId="0" borderId="3" xfId="0" applyNumberFormat="1" applyFont="1" applyBorder="1" applyAlignment="1">
      <alignment horizontal="center"/>
    </xf>
    <xf numFmtId="17" fontId="1" fillId="0" borderId="7" xfId="0" applyNumberFormat="1" applyFont="1" applyBorder="1" applyAlignment="1">
      <alignment horizontal="center"/>
    </xf>
    <xf numFmtId="17" fontId="1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</cellXfs>
  <cellStyles count="2">
    <cellStyle name="Normal" xfId="0" builtinId="0"/>
    <cellStyle name="Normal 6" xfId="1" xr:uid="{D9F5E9AA-22BC-424F-95A7-FA81E261FA4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shek Kumar" id="{5B5318A5-E304-44CB-BC71-81EB3CE292F8}" userId="S::148594@tatasteel.com::dfa75c01-3ccc-44c2-a8d4-111a5e40e41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mdeo Mishra" refreshedDate="46188.78158923611" createdVersion="8" refreshedVersion="8" minRefreshableVersion="3" recordCount="32" xr:uid="{52B1842F-4DD7-4CD3-AE9C-AB71144DA378}">
  <cacheSource type="worksheet">
    <worksheetSource ref="O1:O1048576" sheet="L&amp;U-TSJ"/>
  </cacheSource>
  <cacheFields count="1">
    <cacheField name="Project Status (On-Track, Delayed, Completed, Awaiting Sanction)" numFmtId="0">
      <sharedItems containsBlank="1" count="5">
        <s v="On-Track"/>
        <s v="Delayed"/>
        <s v="Completed"/>
        <s v="Awaiting Sanc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1"/>
  </r>
  <r>
    <x v="3"/>
  </r>
  <r>
    <x v="1"/>
  </r>
  <r>
    <x v="3"/>
  </r>
  <r>
    <x v="1"/>
  </r>
  <r>
    <x v="3"/>
  </r>
  <r>
    <x v="1"/>
  </r>
  <r>
    <x v="3"/>
  </r>
  <r>
    <x v="1"/>
  </r>
  <r>
    <x v="3"/>
  </r>
  <r>
    <x v="1"/>
  </r>
  <r>
    <x v="3"/>
  </r>
  <r>
    <x v="1"/>
  </r>
  <r>
    <x v="4"/>
  </r>
  <r>
    <x v="4"/>
  </r>
  <r>
    <x v="4"/>
  </r>
  <r>
    <x v="4"/>
  </r>
  <r>
    <x v="4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5F3E4-6BF2-4FED-892B-CA73B68FE95C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">
    <pivotField axis="axisRow" dataField="1" showAll="0">
      <items count="6">
        <item x="3"/>
        <item x="2"/>
        <item x="1"/>
        <item x="0"/>
        <item h="1"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ject Status (On-Track, Delayed, Completed, Awaiting Sanction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4" dT="2025-07-24T05:59:48.86" personId="{5B5318A5-E304-44CB-BC71-81EB3CE292F8}" id="{799553B6-DF58-4033-9166-6449F8182C21}">
    <text xml:space="preserve">Move to Different Strategy </text>
  </threadedComment>
  <threadedComment ref="V10" dT="2025-07-28T07:18:13.31" personId="{5B5318A5-E304-44CB-BC71-81EB3CE292F8}" id="{C607905A-5C18-4015-89F7-F852A4327295}">
    <text xml:space="preserve">To be Kept </text>
  </threadedComment>
  <threadedComment ref="V21" dT="2025-07-24T06:18:19.86" personId="{5B5318A5-E304-44CB-BC71-81EB3CE292F8}" id="{9CC10B96-EBBC-47D1-A1D6-DA31E4B7C7F6}">
    <text>Disuss with JMK for dropping</text>
  </threadedComment>
  <threadedComment ref="V31" dT="2025-07-28T07:17:53.00" personId="{5B5318A5-E304-44CB-BC71-81EB3CE292F8}" id="{819BC66F-8F86-4B6D-93B9-9FD77AA99EB0}">
    <text>Discuss KPI &amp; KPM To be Kept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4F3B-BDDB-4A78-8F3D-CF6B1BB418C5}">
  <dimension ref="A3:B8"/>
  <sheetViews>
    <sheetView workbookViewId="0">
      <selection activeCell="C19" sqref="C19"/>
    </sheetView>
  </sheetViews>
  <sheetFormatPr defaultRowHeight="14.45"/>
  <cols>
    <col min="1" max="1" width="15.140625" bestFit="1" customWidth="1"/>
    <col min="2" max="2" width="64.140625" bestFit="1" customWidth="1"/>
  </cols>
  <sheetData>
    <row r="3" spans="1:2">
      <c r="A3" s="127" t="s">
        <v>0</v>
      </c>
      <c r="B3" t="s">
        <v>1</v>
      </c>
    </row>
    <row r="4" spans="1:2">
      <c r="A4" s="128" t="s">
        <v>2</v>
      </c>
      <c r="B4">
        <v>6</v>
      </c>
    </row>
    <row r="5" spans="1:2">
      <c r="A5" s="128" t="s">
        <v>3</v>
      </c>
      <c r="B5">
        <v>1</v>
      </c>
    </row>
    <row r="6" spans="1:2">
      <c r="A6" s="128" t="s">
        <v>4</v>
      </c>
      <c r="B6">
        <v>8</v>
      </c>
    </row>
    <row r="7" spans="1:2">
      <c r="A7" s="128" t="s">
        <v>5</v>
      </c>
      <c r="B7">
        <v>9</v>
      </c>
    </row>
    <row r="8" spans="1:2">
      <c r="A8" s="128" t="s">
        <v>6</v>
      </c>
      <c r="B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CCC3-D453-4C1A-A18F-FB3EDE56993C}">
  <dimension ref="A1:Y35"/>
  <sheetViews>
    <sheetView tabSelected="1" topLeftCell="E1" zoomScale="90" zoomScaleNormal="90" workbookViewId="0">
      <pane ySplit="1" topLeftCell="D11" activePane="bottomLeft" state="frozen"/>
      <selection pane="bottomLeft" activeCell="F12" sqref="F12"/>
    </sheetView>
  </sheetViews>
  <sheetFormatPr defaultRowHeight="14.45"/>
  <cols>
    <col min="1" max="1" width="4.140625" style="14" bestFit="1" customWidth="1"/>
    <col min="2" max="2" width="31" style="15" customWidth="1"/>
    <col min="3" max="3" width="24.5703125" style="16" customWidth="1"/>
    <col min="4" max="4" width="15.140625" style="16" customWidth="1"/>
    <col min="5" max="5" width="37.42578125" style="16" customWidth="1"/>
    <col min="6" max="6" width="25.140625" style="16" customWidth="1"/>
    <col min="7" max="7" width="15.140625" style="16" customWidth="1"/>
    <col min="8" max="8" width="12.42578125" style="16" customWidth="1"/>
    <col min="9" max="9" width="9.85546875" style="16" bestFit="1" customWidth="1"/>
    <col min="10" max="10" width="33.140625" style="16" bestFit="1" customWidth="1"/>
    <col min="11" max="11" width="12.5703125" style="16" customWidth="1"/>
    <col min="12" max="12" width="13" style="14" bestFit="1" customWidth="1"/>
    <col min="13" max="13" width="13.140625" style="16" bestFit="1" customWidth="1"/>
    <col min="14" max="14" width="11.28515625" style="16" bestFit="1" customWidth="1"/>
    <col min="15" max="16" width="21.28515625" style="16" customWidth="1"/>
    <col min="17" max="17" width="22.140625" style="16" customWidth="1"/>
    <col min="18" max="18" width="5.7109375" customWidth="1"/>
    <col min="19" max="19" width="22" customWidth="1"/>
    <col min="22" max="22" width="43.5703125" customWidth="1"/>
    <col min="23" max="23" width="35.140625" customWidth="1"/>
    <col min="25" max="25" width="12.85546875" customWidth="1"/>
  </cols>
  <sheetData>
    <row r="1" spans="1:25" ht="52.5" thickBot="1">
      <c r="A1" s="1" t="s">
        <v>7</v>
      </c>
      <c r="B1" s="1" t="s">
        <v>8</v>
      </c>
      <c r="C1" s="1" t="s">
        <v>9</v>
      </c>
      <c r="D1" s="1" t="s">
        <v>10</v>
      </c>
      <c r="E1" s="76" t="s">
        <v>11</v>
      </c>
      <c r="F1" s="76" t="s">
        <v>12</v>
      </c>
      <c r="G1" s="76" t="s">
        <v>13</v>
      </c>
      <c r="H1" s="1" t="s">
        <v>14</v>
      </c>
      <c r="I1" s="1" t="s">
        <v>15</v>
      </c>
      <c r="J1" s="1" t="s">
        <v>16</v>
      </c>
      <c r="K1" s="55" t="s">
        <v>17</v>
      </c>
      <c r="L1" s="1" t="s">
        <v>18</v>
      </c>
      <c r="M1" s="1" t="s">
        <v>19</v>
      </c>
      <c r="N1" s="1" t="s">
        <v>20</v>
      </c>
      <c r="O1" s="2" t="s">
        <v>21</v>
      </c>
      <c r="P1" s="2" t="s">
        <v>22</v>
      </c>
      <c r="Q1" s="2" t="s">
        <v>23</v>
      </c>
      <c r="V1" s="115" t="s">
        <v>24</v>
      </c>
      <c r="W1" s="115" t="s">
        <v>12</v>
      </c>
      <c r="X1" s="115" t="s">
        <v>25</v>
      </c>
      <c r="Y1" t="s">
        <v>26</v>
      </c>
    </row>
    <row r="2" spans="1:25" ht="26.1">
      <c r="A2" s="3">
        <v>1</v>
      </c>
      <c r="B2" s="84" t="s">
        <v>27</v>
      </c>
      <c r="C2" s="6"/>
      <c r="D2" s="5" t="s">
        <v>28</v>
      </c>
      <c r="E2" s="5" t="s">
        <v>29</v>
      </c>
      <c r="F2" s="5" t="str">
        <f>VLOOKUP(E2,$V$2:$X$35,2,FALSE)</f>
        <v>No of systems</v>
      </c>
      <c r="G2" s="5" t="str">
        <f>VLOOKUP(E2,$V$2:$X$35,3,FALSE)</f>
        <v>Nos</v>
      </c>
      <c r="H2" s="77"/>
      <c r="I2" s="12" t="s">
        <v>30</v>
      </c>
      <c r="J2" s="84" t="s">
        <v>31</v>
      </c>
      <c r="K2" s="56" t="s">
        <v>32</v>
      </c>
      <c r="L2" s="85" t="s">
        <v>33</v>
      </c>
      <c r="M2" s="78"/>
      <c r="N2" s="78"/>
      <c r="O2" s="7" t="s">
        <v>5</v>
      </c>
      <c r="P2" s="7"/>
      <c r="Q2" s="3"/>
      <c r="S2" s="8" t="s">
        <v>5</v>
      </c>
      <c r="T2" s="9"/>
      <c r="V2" s="57" t="s">
        <v>34</v>
      </c>
      <c r="W2" s="57" t="s">
        <v>35</v>
      </c>
      <c r="X2" s="57" t="s">
        <v>36</v>
      </c>
    </row>
    <row r="3" spans="1:25" ht="15">
      <c r="A3" s="3">
        <v>2</v>
      </c>
      <c r="B3" s="86" t="s">
        <v>37</v>
      </c>
      <c r="C3" s="6" t="s">
        <v>38</v>
      </c>
      <c r="D3" s="5" t="s">
        <v>28</v>
      </c>
      <c r="E3" s="5" t="s">
        <v>29</v>
      </c>
      <c r="F3" s="5" t="str">
        <f t="shared" ref="F3:F26" si="0">VLOOKUP(E3,$V$2:$X$35,2,FALSE)</f>
        <v>No of systems</v>
      </c>
      <c r="G3" s="5" t="str">
        <f t="shared" ref="G3:G26" si="1">VLOOKUP(E3,$V$2:$X$35,3,FALSE)</f>
        <v>Nos</v>
      </c>
      <c r="H3" s="77"/>
      <c r="I3" s="12" t="s">
        <v>30</v>
      </c>
      <c r="J3" s="87" t="s">
        <v>39</v>
      </c>
      <c r="K3" s="56" t="s">
        <v>32</v>
      </c>
      <c r="L3" s="85" t="s">
        <v>33</v>
      </c>
      <c r="M3" s="79"/>
      <c r="N3" s="79"/>
      <c r="O3" s="80" t="s">
        <v>5</v>
      </c>
      <c r="P3" s="80"/>
      <c r="Q3" s="3"/>
      <c r="S3" s="8" t="s">
        <v>4</v>
      </c>
      <c r="T3" s="10"/>
      <c r="V3" s="58" t="s">
        <v>29</v>
      </c>
      <c r="W3" s="58" t="s">
        <v>40</v>
      </c>
      <c r="X3" s="58" t="s">
        <v>41</v>
      </c>
    </row>
    <row r="4" spans="1:25" ht="26.1">
      <c r="A4" s="3">
        <v>3</v>
      </c>
      <c r="B4" s="88" t="s">
        <v>42</v>
      </c>
      <c r="C4" s="6"/>
      <c r="D4" s="5" t="s">
        <v>43</v>
      </c>
      <c r="E4" s="5" t="s">
        <v>44</v>
      </c>
      <c r="F4" s="5" t="str">
        <f t="shared" si="0"/>
        <v>% of project completion on time</v>
      </c>
      <c r="G4" s="5" t="str">
        <f t="shared" si="1"/>
        <v>%</v>
      </c>
      <c r="H4" s="77"/>
      <c r="I4" s="6" t="s">
        <v>45</v>
      </c>
      <c r="J4" s="89" t="s">
        <v>46</v>
      </c>
      <c r="K4" s="56" t="s">
        <v>47</v>
      </c>
      <c r="L4" s="85" t="s">
        <v>48</v>
      </c>
      <c r="M4" s="78"/>
      <c r="N4" s="78"/>
      <c r="O4" s="7" t="s">
        <v>5</v>
      </c>
      <c r="P4" s="7"/>
      <c r="Q4" s="3"/>
      <c r="S4" s="8" t="s">
        <v>3</v>
      </c>
      <c r="T4" s="9"/>
      <c r="V4" s="58" t="s">
        <v>44</v>
      </c>
      <c r="W4" s="58" t="s">
        <v>49</v>
      </c>
      <c r="X4" s="116" t="s">
        <v>36</v>
      </c>
    </row>
    <row r="5" spans="1:25" ht="26.1">
      <c r="A5" s="11">
        <v>4</v>
      </c>
      <c r="B5" s="90" t="s">
        <v>50</v>
      </c>
      <c r="C5" s="12"/>
      <c r="D5" s="5" t="s">
        <v>51</v>
      </c>
      <c r="E5" s="114" t="s">
        <v>44</v>
      </c>
      <c r="F5" s="5" t="str">
        <f t="shared" si="0"/>
        <v>% of project completion on time</v>
      </c>
      <c r="G5" s="5" t="str">
        <f t="shared" si="1"/>
        <v>%</v>
      </c>
      <c r="H5" s="81"/>
      <c r="I5" s="6" t="s">
        <v>52</v>
      </c>
      <c r="J5" s="91" t="s">
        <v>53</v>
      </c>
      <c r="K5" s="56" t="s">
        <v>54</v>
      </c>
      <c r="L5" s="85" t="s">
        <v>55</v>
      </c>
      <c r="M5" s="82"/>
      <c r="N5" s="82"/>
      <c r="O5" s="7" t="s">
        <v>5</v>
      </c>
      <c r="P5" s="7"/>
      <c r="Q5" s="3"/>
      <c r="S5" s="8" t="s">
        <v>2</v>
      </c>
      <c r="T5" s="13"/>
      <c r="V5" s="58" t="s">
        <v>56</v>
      </c>
      <c r="W5" s="58" t="s">
        <v>57</v>
      </c>
      <c r="X5" s="116" t="s">
        <v>41</v>
      </c>
    </row>
    <row r="6" spans="1:25" ht="26.1">
      <c r="A6" s="3">
        <v>5</v>
      </c>
      <c r="B6" s="92" t="s">
        <v>58</v>
      </c>
      <c r="C6" s="6"/>
      <c r="D6" s="5" t="s">
        <v>51</v>
      </c>
      <c r="E6" s="114" t="s">
        <v>44</v>
      </c>
      <c r="F6" s="5" t="str">
        <f t="shared" si="0"/>
        <v>% of project completion on time</v>
      </c>
      <c r="G6" s="5" t="str">
        <f t="shared" si="1"/>
        <v>%</v>
      </c>
      <c r="H6" s="77"/>
      <c r="I6" s="6" t="s">
        <v>59</v>
      </c>
      <c r="J6" s="93" t="s">
        <v>60</v>
      </c>
      <c r="K6" s="56" t="s">
        <v>54</v>
      </c>
      <c r="L6" s="85" t="s">
        <v>55</v>
      </c>
      <c r="M6" s="78"/>
      <c r="N6" s="78"/>
      <c r="O6" s="7" t="s">
        <v>5</v>
      </c>
      <c r="P6" s="7"/>
      <c r="Q6" s="3"/>
      <c r="V6" s="58" t="s">
        <v>61</v>
      </c>
      <c r="W6" s="58" t="s">
        <v>62</v>
      </c>
      <c r="X6" s="116" t="s">
        <v>41</v>
      </c>
    </row>
    <row r="7" spans="1:25" ht="29.45" thickBot="1">
      <c r="A7" s="3">
        <v>6</v>
      </c>
      <c r="B7" s="90" t="s">
        <v>63</v>
      </c>
      <c r="C7" s="6"/>
      <c r="D7" s="5" t="s">
        <v>51</v>
      </c>
      <c r="E7" s="114" t="s">
        <v>44</v>
      </c>
      <c r="F7" s="5" t="str">
        <f t="shared" si="0"/>
        <v>% of project completion on time</v>
      </c>
      <c r="G7" s="5" t="str">
        <f t="shared" si="1"/>
        <v>%</v>
      </c>
      <c r="H7" s="6"/>
      <c r="I7" s="6" t="s">
        <v>64</v>
      </c>
      <c r="J7" s="94" t="s">
        <v>65</v>
      </c>
      <c r="K7" s="56" t="s">
        <v>32</v>
      </c>
      <c r="L7" s="85" t="s">
        <v>66</v>
      </c>
      <c r="M7" s="80"/>
      <c r="N7" s="80"/>
      <c r="O7" s="80" t="s">
        <v>5</v>
      </c>
      <c r="P7" s="80"/>
      <c r="Q7" s="3"/>
      <c r="V7" s="59" t="s">
        <v>67</v>
      </c>
      <c r="W7" s="59" t="s">
        <v>68</v>
      </c>
      <c r="X7" s="117" t="s">
        <v>36</v>
      </c>
    </row>
    <row r="8" spans="1:25" ht="26.1">
      <c r="A8" s="3">
        <v>7</v>
      </c>
      <c r="B8" s="92" t="s">
        <v>69</v>
      </c>
      <c r="C8" s="6"/>
      <c r="D8" s="5" t="s">
        <v>51</v>
      </c>
      <c r="E8" s="114" t="s">
        <v>44</v>
      </c>
      <c r="F8" s="5" t="str">
        <f t="shared" si="0"/>
        <v>% of project completion on time</v>
      </c>
      <c r="G8" s="5" t="str">
        <f t="shared" si="1"/>
        <v>%</v>
      </c>
      <c r="H8" s="6"/>
      <c r="I8" s="12" t="s">
        <v>30</v>
      </c>
      <c r="J8" s="95" t="s">
        <v>53</v>
      </c>
      <c r="K8" s="56" t="s">
        <v>70</v>
      </c>
      <c r="L8" s="85" t="s">
        <v>33</v>
      </c>
      <c r="M8" s="7"/>
      <c r="N8" s="7"/>
      <c r="O8" s="7" t="s">
        <v>5</v>
      </c>
      <c r="P8" s="7"/>
      <c r="Q8" s="3"/>
      <c r="V8" s="57" t="s">
        <v>71</v>
      </c>
      <c r="W8" s="57" t="s">
        <v>72</v>
      </c>
      <c r="X8" s="118" t="s">
        <v>73</v>
      </c>
    </row>
    <row r="9" spans="1:25" ht="25.5">
      <c r="A9" s="3">
        <v>8</v>
      </c>
      <c r="B9" s="90" t="s">
        <v>74</v>
      </c>
      <c r="C9" s="6"/>
      <c r="D9" s="5" t="s">
        <v>51</v>
      </c>
      <c r="E9" s="114" t="s">
        <v>75</v>
      </c>
      <c r="F9" s="5" t="str">
        <f t="shared" si="0"/>
        <v>No. Of solutions</v>
      </c>
      <c r="G9" s="5" t="str">
        <f t="shared" si="1"/>
        <v>Nos</v>
      </c>
      <c r="H9" s="77"/>
      <c r="I9" s="6" t="s">
        <v>45</v>
      </c>
      <c r="J9" s="96" t="s">
        <v>76</v>
      </c>
      <c r="K9" s="56" t="s">
        <v>70</v>
      </c>
      <c r="L9" s="85" t="s">
        <v>77</v>
      </c>
      <c r="M9" s="78"/>
      <c r="N9" s="78"/>
      <c r="O9" s="7" t="s">
        <v>5</v>
      </c>
      <c r="P9" s="7"/>
      <c r="Q9" s="3" t="s">
        <v>78</v>
      </c>
      <c r="V9" s="60" t="s">
        <v>79</v>
      </c>
      <c r="W9" s="59" t="s">
        <v>72</v>
      </c>
      <c r="X9" s="60" t="s">
        <v>73</v>
      </c>
    </row>
    <row r="10" spans="1:25" ht="25.5" customHeight="1">
      <c r="A10" s="3">
        <v>9</v>
      </c>
      <c r="B10" s="97" t="s">
        <v>80</v>
      </c>
      <c r="C10" s="6"/>
      <c r="D10" s="5" t="s">
        <v>51</v>
      </c>
      <c r="E10" s="114" t="s">
        <v>75</v>
      </c>
      <c r="F10" s="5" t="str">
        <f t="shared" si="0"/>
        <v>No. Of solutions</v>
      </c>
      <c r="G10" s="5" t="str">
        <f t="shared" si="1"/>
        <v>Nos</v>
      </c>
      <c r="H10" s="6"/>
      <c r="I10" s="4" t="s">
        <v>81</v>
      </c>
      <c r="J10" s="95" t="s">
        <v>53</v>
      </c>
      <c r="K10" s="56" t="s">
        <v>47</v>
      </c>
      <c r="L10" s="85" t="s">
        <v>82</v>
      </c>
      <c r="M10" s="83"/>
      <c r="N10" s="83"/>
      <c r="O10" s="7" t="s">
        <v>4</v>
      </c>
      <c r="P10" s="7"/>
      <c r="Q10" s="129"/>
      <c r="V10" s="57" t="s">
        <v>75</v>
      </c>
      <c r="W10" s="70" t="s">
        <v>83</v>
      </c>
      <c r="X10" s="57" t="s">
        <v>41</v>
      </c>
    </row>
    <row r="11" spans="1:25" ht="29.1" customHeight="1">
      <c r="A11" s="3">
        <v>10</v>
      </c>
      <c r="B11" s="98" t="s">
        <v>84</v>
      </c>
      <c r="C11" s="6" t="s">
        <v>85</v>
      </c>
      <c r="D11" s="5" t="s">
        <v>51</v>
      </c>
      <c r="E11" s="114" t="s">
        <v>71</v>
      </c>
      <c r="F11" s="5" t="str">
        <f t="shared" si="0"/>
        <v>INR Cr</v>
      </c>
      <c r="G11" s="5" t="str">
        <f t="shared" si="1"/>
        <v>INR</v>
      </c>
      <c r="H11" s="6"/>
      <c r="I11" s="4" t="s">
        <v>81</v>
      </c>
      <c r="J11" s="99" t="s">
        <v>86</v>
      </c>
      <c r="K11" s="56" t="s">
        <v>87</v>
      </c>
      <c r="L11" s="100" t="s">
        <v>88</v>
      </c>
      <c r="M11" s="80" t="s">
        <v>32</v>
      </c>
      <c r="N11" s="80"/>
      <c r="O11" s="80" t="s">
        <v>3</v>
      </c>
      <c r="P11" s="80"/>
      <c r="Q11" s="130"/>
      <c r="V11" s="61" t="s">
        <v>89</v>
      </c>
      <c r="W11" s="58" t="s">
        <v>90</v>
      </c>
      <c r="X11" s="58" t="s">
        <v>41</v>
      </c>
    </row>
    <row r="12" spans="1:25" ht="29.1" customHeight="1">
      <c r="A12" s="3">
        <v>11</v>
      </c>
      <c r="B12" s="92" t="s">
        <v>91</v>
      </c>
      <c r="C12" s="6"/>
      <c r="D12" s="5" t="s">
        <v>51</v>
      </c>
      <c r="E12" s="114" t="s">
        <v>44</v>
      </c>
      <c r="F12" s="5" t="str">
        <f>VLOOKUP(E12,$V$2:$X$35,2,FALSE)</f>
        <v>% of project completion on time</v>
      </c>
      <c r="G12" s="5" t="str">
        <f t="shared" si="1"/>
        <v>%</v>
      </c>
      <c r="H12" s="6"/>
      <c r="I12" s="4" t="s">
        <v>81</v>
      </c>
      <c r="J12" s="101" t="s">
        <v>92</v>
      </c>
      <c r="K12" s="56" t="s">
        <v>87</v>
      </c>
      <c r="L12" s="100" t="s">
        <v>93</v>
      </c>
      <c r="M12" s="80"/>
      <c r="N12" s="80"/>
      <c r="O12" s="80" t="s">
        <v>5</v>
      </c>
      <c r="P12" s="80"/>
      <c r="Q12" s="131"/>
      <c r="V12" s="61" t="s">
        <v>94</v>
      </c>
      <c r="W12" s="58" t="s">
        <v>83</v>
      </c>
      <c r="X12" s="58" t="s">
        <v>41</v>
      </c>
    </row>
    <row r="13" spans="1:25" ht="27.75">
      <c r="A13" s="3">
        <v>12</v>
      </c>
      <c r="B13" s="98" t="s">
        <v>95</v>
      </c>
      <c r="C13" s="6"/>
      <c r="D13" s="5" t="s">
        <v>51</v>
      </c>
      <c r="E13" s="114" t="s">
        <v>75</v>
      </c>
      <c r="F13" s="5" t="str">
        <f t="shared" si="0"/>
        <v>No. Of solutions</v>
      </c>
      <c r="G13" s="5" t="str">
        <f t="shared" si="1"/>
        <v>Nos</v>
      </c>
      <c r="H13" s="6"/>
      <c r="I13" s="6" t="s">
        <v>59</v>
      </c>
      <c r="J13" s="96" t="s">
        <v>60</v>
      </c>
      <c r="K13" s="56" t="s">
        <v>96</v>
      </c>
      <c r="L13" s="85" t="s">
        <v>33</v>
      </c>
      <c r="M13" s="80"/>
      <c r="N13" s="80"/>
      <c r="O13" s="80" t="s">
        <v>4</v>
      </c>
      <c r="P13" s="80"/>
      <c r="Q13" s="3"/>
      <c r="V13" s="59" t="s">
        <v>97</v>
      </c>
      <c r="W13" s="69" t="s">
        <v>83</v>
      </c>
      <c r="X13" s="69" t="s">
        <v>41</v>
      </c>
    </row>
    <row r="14" spans="1:25" ht="26.1">
      <c r="A14" s="3">
        <v>13</v>
      </c>
      <c r="B14" s="97" t="s">
        <v>98</v>
      </c>
      <c r="C14" s="6"/>
      <c r="D14" s="5" t="s">
        <v>51</v>
      </c>
      <c r="E14" s="114" t="s">
        <v>56</v>
      </c>
      <c r="F14" s="5" t="str">
        <f t="shared" si="0"/>
        <v xml:space="preserve">No of systems/Projects </v>
      </c>
      <c r="G14" s="5" t="str">
        <f t="shared" si="1"/>
        <v>Nos</v>
      </c>
      <c r="H14" s="6"/>
      <c r="I14" s="6" t="s">
        <v>99</v>
      </c>
      <c r="J14" s="85" t="s">
        <v>100</v>
      </c>
      <c r="K14" s="56" t="s">
        <v>70</v>
      </c>
      <c r="L14" s="85" t="s">
        <v>33</v>
      </c>
      <c r="M14" s="7"/>
      <c r="N14" s="7"/>
      <c r="O14" s="7" t="s">
        <v>2</v>
      </c>
      <c r="P14" s="7"/>
      <c r="Q14" s="3"/>
      <c r="V14" s="57" t="s">
        <v>101</v>
      </c>
      <c r="W14" s="57" t="s">
        <v>102</v>
      </c>
      <c r="X14" s="57" t="s">
        <v>41</v>
      </c>
    </row>
    <row r="15" spans="1:25" ht="45.75">
      <c r="A15" s="3">
        <v>14</v>
      </c>
      <c r="B15" s="90" t="s">
        <v>103</v>
      </c>
      <c r="C15" s="6"/>
      <c r="D15" s="6" t="s">
        <v>104</v>
      </c>
      <c r="E15" s="114" t="s">
        <v>75</v>
      </c>
      <c r="F15" s="5" t="str">
        <f t="shared" si="0"/>
        <v>No. Of solutions</v>
      </c>
      <c r="G15" s="5" t="str">
        <f t="shared" si="1"/>
        <v>Nos</v>
      </c>
      <c r="H15" s="6" t="s">
        <v>105</v>
      </c>
      <c r="I15" s="6" t="s">
        <v>106</v>
      </c>
      <c r="J15" s="99" t="s">
        <v>107</v>
      </c>
      <c r="K15" s="56" t="s">
        <v>108</v>
      </c>
      <c r="L15" s="85" t="s">
        <v>33</v>
      </c>
      <c r="M15" s="80"/>
      <c r="N15" s="80"/>
      <c r="O15" s="80" t="s">
        <v>4</v>
      </c>
      <c r="P15" s="80"/>
      <c r="Q15" s="3"/>
      <c r="V15" s="58" t="s">
        <v>109</v>
      </c>
      <c r="W15" s="58" t="s">
        <v>102</v>
      </c>
      <c r="X15" s="58" t="s">
        <v>41</v>
      </c>
    </row>
    <row r="16" spans="1:25" ht="27.75">
      <c r="A16" s="3">
        <v>15</v>
      </c>
      <c r="B16" s="102" t="s">
        <v>110</v>
      </c>
      <c r="C16" s="6" t="s">
        <v>111</v>
      </c>
      <c r="D16" s="6" t="s">
        <v>104</v>
      </c>
      <c r="E16" s="114" t="s">
        <v>71</v>
      </c>
      <c r="F16" s="5" t="str">
        <f t="shared" si="0"/>
        <v>INR Cr</v>
      </c>
      <c r="G16" s="5" t="str">
        <f t="shared" si="1"/>
        <v>INR</v>
      </c>
      <c r="H16" s="6" t="s">
        <v>105</v>
      </c>
      <c r="I16" s="6" t="s">
        <v>106</v>
      </c>
      <c r="J16" s="89" t="s">
        <v>112</v>
      </c>
      <c r="K16" s="56" t="s">
        <v>108</v>
      </c>
      <c r="L16" s="85" t="s">
        <v>33</v>
      </c>
      <c r="M16" s="7"/>
      <c r="N16" s="7"/>
      <c r="O16" s="7" t="s">
        <v>2</v>
      </c>
      <c r="P16" s="7"/>
      <c r="Q16" s="3"/>
      <c r="V16" s="58" t="s">
        <v>113</v>
      </c>
      <c r="W16" s="58" t="s">
        <v>114</v>
      </c>
      <c r="X16" s="58" t="s">
        <v>41</v>
      </c>
    </row>
    <row r="17" spans="1:24" ht="87">
      <c r="A17" s="3">
        <v>16</v>
      </c>
      <c r="B17" s="103" t="s">
        <v>115</v>
      </c>
      <c r="C17" s="6"/>
      <c r="D17" s="6" t="s">
        <v>116</v>
      </c>
      <c r="E17" s="114" t="s">
        <v>75</v>
      </c>
      <c r="F17" s="5" t="str">
        <f t="shared" si="0"/>
        <v>No. Of solutions</v>
      </c>
      <c r="G17" s="5" t="str">
        <f t="shared" si="1"/>
        <v>Nos</v>
      </c>
      <c r="H17" s="6"/>
      <c r="I17" s="6" t="s">
        <v>106</v>
      </c>
      <c r="J17" s="104" t="s">
        <v>117</v>
      </c>
      <c r="K17" s="56" t="s">
        <v>118</v>
      </c>
      <c r="L17" s="85" t="s">
        <v>119</v>
      </c>
      <c r="M17" s="80"/>
      <c r="N17" s="80"/>
      <c r="O17" s="80" t="s">
        <v>4</v>
      </c>
      <c r="P17" s="80"/>
      <c r="Q17" s="3"/>
      <c r="V17" s="119" t="s">
        <v>120</v>
      </c>
      <c r="W17" s="58" t="s">
        <v>121</v>
      </c>
      <c r="X17" s="58" t="s">
        <v>41</v>
      </c>
    </row>
    <row r="18" spans="1:24" ht="57.75">
      <c r="A18" s="3">
        <v>17</v>
      </c>
      <c r="B18" s="105" t="s">
        <v>122</v>
      </c>
      <c r="C18" s="6"/>
      <c r="D18" s="6" t="s">
        <v>116</v>
      </c>
      <c r="E18" s="114" t="s">
        <v>75</v>
      </c>
      <c r="F18" s="5" t="str">
        <f t="shared" si="0"/>
        <v>No. Of solutions</v>
      </c>
      <c r="G18" s="5" t="str">
        <f t="shared" si="1"/>
        <v>Nos</v>
      </c>
      <c r="H18" s="6"/>
      <c r="I18" s="6" t="s">
        <v>106</v>
      </c>
      <c r="J18" s="106" t="s">
        <v>117</v>
      </c>
      <c r="K18" s="56" t="s">
        <v>47</v>
      </c>
      <c r="L18" s="85" t="s">
        <v>123</v>
      </c>
      <c r="M18" s="7"/>
      <c r="N18" s="7"/>
      <c r="O18" s="7" t="s">
        <v>2</v>
      </c>
      <c r="P18" s="7"/>
      <c r="Q18" s="3"/>
      <c r="V18" s="58" t="s">
        <v>124</v>
      </c>
      <c r="W18" s="58" t="s">
        <v>125</v>
      </c>
      <c r="X18" s="58" t="s">
        <v>41</v>
      </c>
    </row>
    <row r="19" spans="1:24" ht="26.1">
      <c r="A19" s="3">
        <v>18</v>
      </c>
      <c r="B19" s="107" t="s">
        <v>126</v>
      </c>
      <c r="C19" s="6"/>
      <c r="D19" s="5" t="s">
        <v>43</v>
      </c>
      <c r="E19" s="114" t="s">
        <v>89</v>
      </c>
      <c r="F19" s="5" t="str">
        <f t="shared" si="0"/>
        <v>No. of Solutions</v>
      </c>
      <c r="G19" s="5" t="str">
        <f t="shared" si="1"/>
        <v>Nos</v>
      </c>
      <c r="H19" s="6"/>
      <c r="I19" s="6" t="s">
        <v>127</v>
      </c>
      <c r="J19" s="96" t="s">
        <v>46</v>
      </c>
      <c r="K19" s="56" t="s">
        <v>128</v>
      </c>
      <c r="L19" s="85" t="s">
        <v>55</v>
      </c>
      <c r="M19" s="80"/>
      <c r="N19" s="80"/>
      <c r="O19" s="80" t="s">
        <v>4</v>
      </c>
      <c r="P19" s="80"/>
      <c r="Q19" s="3"/>
      <c r="V19" s="58" t="s">
        <v>129</v>
      </c>
      <c r="W19" s="58" t="s">
        <v>130</v>
      </c>
      <c r="X19" s="58" t="s">
        <v>131</v>
      </c>
    </row>
    <row r="20" spans="1:24" ht="26.1">
      <c r="A20" s="3">
        <v>19</v>
      </c>
      <c r="B20" s="107" t="s">
        <v>132</v>
      </c>
      <c r="C20" s="6"/>
      <c r="D20" s="5" t="s">
        <v>43</v>
      </c>
      <c r="E20" s="114" t="s">
        <v>89</v>
      </c>
      <c r="F20" s="5" t="str">
        <f t="shared" si="0"/>
        <v>No. of Solutions</v>
      </c>
      <c r="G20" s="5" t="str">
        <f t="shared" si="1"/>
        <v>Nos</v>
      </c>
      <c r="H20" s="6"/>
      <c r="I20" s="6" t="s">
        <v>133</v>
      </c>
      <c r="J20" s="85" t="s">
        <v>134</v>
      </c>
      <c r="K20" s="56" t="s">
        <v>128</v>
      </c>
      <c r="L20" s="85" t="s">
        <v>55</v>
      </c>
      <c r="M20" s="7"/>
      <c r="N20" s="7"/>
      <c r="O20" s="7" t="s">
        <v>2</v>
      </c>
      <c r="P20" s="7"/>
      <c r="Q20" s="3"/>
      <c r="V20" s="58" t="s">
        <v>135</v>
      </c>
      <c r="W20" s="120" t="s">
        <v>136</v>
      </c>
      <c r="X20" s="120" t="s">
        <v>41</v>
      </c>
    </row>
    <row r="21" spans="1:24" ht="26.1">
      <c r="A21" s="3">
        <v>20</v>
      </c>
      <c r="B21" s="107" t="s">
        <v>137</v>
      </c>
      <c r="C21" s="6"/>
      <c r="D21" s="5" t="s">
        <v>43</v>
      </c>
      <c r="E21" s="114" t="s">
        <v>89</v>
      </c>
      <c r="F21" s="5" t="str">
        <f t="shared" si="0"/>
        <v>No. of Solutions</v>
      </c>
      <c r="G21" s="5" t="str">
        <f t="shared" si="1"/>
        <v>Nos</v>
      </c>
      <c r="H21" s="6"/>
      <c r="I21" s="6" t="s">
        <v>138</v>
      </c>
      <c r="J21" s="85" t="s">
        <v>139</v>
      </c>
      <c r="K21" s="56" t="s">
        <v>32</v>
      </c>
      <c r="L21" s="85" t="s">
        <v>55</v>
      </c>
      <c r="M21" s="80"/>
      <c r="N21" s="80"/>
      <c r="O21" s="80" t="s">
        <v>4</v>
      </c>
      <c r="P21" s="80"/>
      <c r="Q21" s="3"/>
      <c r="V21" s="59" t="s">
        <v>140</v>
      </c>
      <c r="W21" s="59" t="s">
        <v>141</v>
      </c>
      <c r="X21" s="59" t="s">
        <v>41</v>
      </c>
    </row>
    <row r="22" spans="1:24" ht="45.75">
      <c r="A22" s="3">
        <v>21</v>
      </c>
      <c r="B22" s="108" t="s">
        <v>142</v>
      </c>
      <c r="C22" s="6"/>
      <c r="D22" s="6" t="s">
        <v>51</v>
      </c>
      <c r="E22" s="114" t="s">
        <v>97</v>
      </c>
      <c r="F22" s="5" t="str">
        <f t="shared" si="0"/>
        <v>No. Of solutions</v>
      </c>
      <c r="G22" s="5" t="str">
        <f t="shared" si="1"/>
        <v>Nos</v>
      </c>
      <c r="H22" s="6"/>
      <c r="I22" s="6" t="s">
        <v>106</v>
      </c>
      <c r="J22" s="109" t="s">
        <v>143</v>
      </c>
      <c r="K22" s="56" t="s">
        <v>96</v>
      </c>
      <c r="L22" s="85" t="s">
        <v>55</v>
      </c>
      <c r="M22" s="7"/>
      <c r="N22" s="7"/>
      <c r="O22" s="7" t="s">
        <v>2</v>
      </c>
      <c r="P22" s="7"/>
      <c r="Q22" s="3"/>
      <c r="V22" s="57" t="s">
        <v>144</v>
      </c>
      <c r="W22" s="57" t="s">
        <v>145</v>
      </c>
      <c r="X22" s="57" t="s">
        <v>36</v>
      </c>
    </row>
    <row r="23" spans="1:24" ht="45.75">
      <c r="A23" s="3">
        <v>22</v>
      </c>
      <c r="B23" s="110" t="s">
        <v>146</v>
      </c>
      <c r="C23" s="6"/>
      <c r="D23" s="6" t="s">
        <v>51</v>
      </c>
      <c r="E23" s="114" t="s">
        <v>97</v>
      </c>
      <c r="F23" s="5" t="str">
        <f t="shared" si="0"/>
        <v>No. Of solutions</v>
      </c>
      <c r="G23" s="5" t="str">
        <f t="shared" si="1"/>
        <v>Nos</v>
      </c>
      <c r="H23" s="6"/>
      <c r="I23" s="6" t="s">
        <v>99</v>
      </c>
      <c r="J23" s="111" t="s">
        <v>100</v>
      </c>
      <c r="K23" s="56" t="s">
        <v>70</v>
      </c>
      <c r="L23" s="85" t="s">
        <v>147</v>
      </c>
      <c r="M23" s="80"/>
      <c r="N23" s="80"/>
      <c r="O23" s="80" t="s">
        <v>4</v>
      </c>
      <c r="P23" s="80"/>
      <c r="Q23" s="3"/>
      <c r="V23" s="62" t="s">
        <v>148</v>
      </c>
      <c r="W23" s="62" t="s">
        <v>149</v>
      </c>
      <c r="X23" s="58" t="s">
        <v>36</v>
      </c>
    </row>
    <row r="24" spans="1:24" ht="45.75">
      <c r="A24" s="3">
        <v>23</v>
      </c>
      <c r="B24" s="112" t="s">
        <v>150</v>
      </c>
      <c r="C24" s="6"/>
      <c r="D24" s="6" t="s">
        <v>51</v>
      </c>
      <c r="E24" s="114" t="s">
        <v>97</v>
      </c>
      <c r="F24" s="5" t="str">
        <f t="shared" si="0"/>
        <v>No. Of solutions</v>
      </c>
      <c r="G24" s="5" t="str">
        <f t="shared" si="1"/>
        <v>Nos</v>
      </c>
      <c r="H24" s="6"/>
      <c r="I24" s="6" t="s">
        <v>99</v>
      </c>
      <c r="J24" s="113" t="s">
        <v>100</v>
      </c>
      <c r="K24" s="56" t="s">
        <v>108</v>
      </c>
      <c r="L24" s="85" t="s">
        <v>55</v>
      </c>
      <c r="M24" s="7"/>
      <c r="N24" s="7"/>
      <c r="O24" s="7" t="s">
        <v>2</v>
      </c>
      <c r="P24" s="7"/>
      <c r="Q24" s="3"/>
      <c r="V24" s="63" t="s">
        <v>151</v>
      </c>
      <c r="W24" s="71" t="s">
        <v>152</v>
      </c>
      <c r="X24" s="121" t="s">
        <v>131</v>
      </c>
    </row>
    <row r="25" spans="1:24" ht="15">
      <c r="A25" s="3"/>
      <c r="B25" s="112"/>
      <c r="C25" s="6"/>
      <c r="D25" s="6"/>
      <c r="E25" s="114" t="s">
        <v>71</v>
      </c>
      <c r="F25" s="5" t="str">
        <f t="shared" si="0"/>
        <v>INR Cr</v>
      </c>
      <c r="G25" s="5" t="str">
        <f t="shared" si="1"/>
        <v>INR</v>
      </c>
      <c r="H25" s="6"/>
      <c r="I25" s="6"/>
      <c r="J25" s="113"/>
      <c r="K25" s="56"/>
      <c r="L25" s="85"/>
      <c r="M25" s="7"/>
      <c r="N25" s="7"/>
      <c r="O25" s="7"/>
      <c r="P25" s="7"/>
      <c r="Q25" s="3"/>
      <c r="V25" s="63"/>
      <c r="W25" s="71"/>
      <c r="X25" s="121"/>
    </row>
    <row r="26" spans="1:24" ht="45.75">
      <c r="A26" s="3">
        <v>24</v>
      </c>
      <c r="B26" s="110" t="s">
        <v>153</v>
      </c>
      <c r="C26" s="6"/>
      <c r="D26" s="6" t="s">
        <v>51</v>
      </c>
      <c r="E26" s="114" t="s">
        <v>97</v>
      </c>
      <c r="F26" s="5" t="str">
        <f t="shared" si="0"/>
        <v>No. Of solutions</v>
      </c>
      <c r="G26" s="5" t="str">
        <f t="shared" si="1"/>
        <v>Nos</v>
      </c>
      <c r="H26" s="6"/>
      <c r="I26" s="6" t="s">
        <v>99</v>
      </c>
      <c r="J26" s="111" t="s">
        <v>107</v>
      </c>
      <c r="K26" s="56" t="s">
        <v>108</v>
      </c>
      <c r="L26" s="85" t="s">
        <v>55</v>
      </c>
      <c r="M26" s="80"/>
      <c r="N26" s="80"/>
      <c r="O26" s="80" t="s">
        <v>4</v>
      </c>
      <c r="P26" s="80"/>
      <c r="Q26" s="3"/>
      <c r="V26" s="64" t="s">
        <v>154</v>
      </c>
      <c r="W26" s="72">
        <v>1</v>
      </c>
      <c r="X26" s="69"/>
    </row>
    <row r="27" spans="1:24" ht="15" thickBot="1">
      <c r="V27" s="65" t="s">
        <v>155</v>
      </c>
      <c r="W27" s="73" t="s">
        <v>156</v>
      </c>
      <c r="X27" s="122" t="s">
        <v>41</v>
      </c>
    </row>
    <row r="28" spans="1:24" ht="26.1">
      <c r="V28" s="66" t="s">
        <v>157</v>
      </c>
      <c r="W28" s="57" t="s">
        <v>149</v>
      </c>
      <c r="X28" s="123" t="s">
        <v>36</v>
      </c>
    </row>
    <row r="29" spans="1:24" ht="26.1">
      <c r="V29" s="67" t="s">
        <v>158</v>
      </c>
      <c r="W29" s="74" t="s">
        <v>159</v>
      </c>
      <c r="X29" s="67" t="s">
        <v>160</v>
      </c>
    </row>
    <row r="30" spans="1:24">
      <c r="V30" s="62" t="s">
        <v>161</v>
      </c>
      <c r="W30" s="74" t="s">
        <v>149</v>
      </c>
      <c r="X30" s="124" t="s">
        <v>36</v>
      </c>
    </row>
    <row r="31" spans="1:24" ht="39.6" thickBot="1">
      <c r="V31" s="68" t="s">
        <v>162</v>
      </c>
      <c r="W31" s="75" t="s">
        <v>163</v>
      </c>
      <c r="X31" s="124" t="s">
        <v>36</v>
      </c>
    </row>
    <row r="32" spans="1:24">
      <c r="V32" s="57" t="s">
        <v>164</v>
      </c>
      <c r="W32" s="57" t="s">
        <v>165</v>
      </c>
      <c r="X32" s="118" t="s">
        <v>36</v>
      </c>
    </row>
    <row r="33" spans="22:24">
      <c r="V33" s="61" t="s">
        <v>166</v>
      </c>
      <c r="W33" s="61" t="s">
        <v>165</v>
      </c>
      <c r="X33" s="125" t="s">
        <v>36</v>
      </c>
    </row>
    <row r="34" spans="22:24">
      <c r="V34" s="69" t="s">
        <v>167</v>
      </c>
      <c r="W34" s="69" t="s">
        <v>145</v>
      </c>
      <c r="X34" s="69" t="s">
        <v>41</v>
      </c>
    </row>
    <row r="35" spans="22:24" ht="15" thickBot="1">
      <c r="V35" s="126" t="s">
        <v>168</v>
      </c>
      <c r="W35" s="126" t="s">
        <v>169</v>
      </c>
      <c r="X35" s="126" t="s">
        <v>41</v>
      </c>
    </row>
  </sheetData>
  <autoFilter ref="A1:Q26" xr:uid="{A9C1CCC3-D453-4C1A-A18F-FB3EDE56993C}"/>
  <mergeCells count="1">
    <mergeCell ref="Q10:Q12"/>
  </mergeCells>
  <dataValidations count="2">
    <dataValidation type="list" allowBlank="1" showInputMessage="1" showErrorMessage="1" sqref="O2:O26" xr:uid="{BF5D35ED-FBB9-4A37-83E7-C567CBE9EAC9}">
      <formula1>$S$2:$S$5</formula1>
    </dataValidation>
    <dataValidation type="list" allowBlank="1" showInputMessage="1" showErrorMessage="1" sqref="E2:E26" xr:uid="{977817CD-B848-4275-A360-22C55E2F45D8}">
      <formula1>$V$2:$V$35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881F-C481-498D-8BCA-31F12AB3F1F1}">
  <dimension ref="A1:BP55"/>
  <sheetViews>
    <sheetView zoomScale="90" zoomScaleNormal="90" workbookViewId="0">
      <pane xSplit="3" ySplit="5" topLeftCell="D6" activePane="bottomRight" state="frozen"/>
      <selection pane="bottomRight" activeCell="C18" sqref="C18"/>
      <selection pane="bottomLeft" activeCell="A6" sqref="A6"/>
      <selection pane="topRight" activeCell="D1" sqref="D1"/>
    </sheetView>
  </sheetViews>
  <sheetFormatPr defaultRowHeight="14.45"/>
  <cols>
    <col min="1" max="1" width="4.42578125" customWidth="1"/>
    <col min="2" max="2" width="37.5703125" customWidth="1"/>
    <col min="3" max="3" width="13.7109375" customWidth="1"/>
    <col min="4" max="4" width="4.28515625" customWidth="1"/>
    <col min="5" max="5" width="6" customWidth="1"/>
    <col min="6" max="6" width="4.28515625" customWidth="1"/>
    <col min="7" max="7" width="3.28515625" customWidth="1"/>
    <col min="8" max="8" width="2.42578125" customWidth="1"/>
    <col min="9" max="9" width="2.140625" customWidth="1"/>
    <col min="10" max="10" width="2.42578125" customWidth="1"/>
    <col min="11" max="11" width="2.140625" customWidth="1"/>
    <col min="12" max="12" width="2.42578125" customWidth="1"/>
    <col min="13" max="13" width="2.140625" customWidth="1"/>
    <col min="14" max="14" width="2.42578125" customWidth="1"/>
    <col min="15" max="15" width="2.140625" customWidth="1"/>
    <col min="16" max="16" width="2.42578125" customWidth="1"/>
    <col min="17" max="17" width="2.140625" customWidth="1"/>
    <col min="18" max="18" width="2.42578125" customWidth="1"/>
    <col min="19" max="19" width="2.140625" customWidth="1"/>
    <col min="20" max="20" width="2.42578125" customWidth="1"/>
    <col min="21" max="21" width="2.140625" customWidth="1"/>
    <col min="22" max="22" width="2.42578125" customWidth="1"/>
    <col min="23" max="23" width="2.140625" customWidth="1"/>
    <col min="24" max="24" width="2.42578125" customWidth="1"/>
    <col min="25" max="25" width="2.140625" customWidth="1"/>
    <col min="26" max="26" width="2.42578125" customWidth="1"/>
    <col min="27" max="27" width="2.140625" customWidth="1"/>
    <col min="28" max="28" width="2.42578125" customWidth="1"/>
    <col min="29" max="29" width="2.140625" customWidth="1"/>
    <col min="30" max="30" width="2.42578125" customWidth="1"/>
    <col min="31" max="31" width="2.140625" customWidth="1"/>
    <col min="32" max="32" width="2.42578125" customWidth="1"/>
    <col min="33" max="33" width="2.140625" customWidth="1"/>
    <col min="34" max="34" width="2.42578125" customWidth="1"/>
    <col min="35" max="35" width="2.140625" customWidth="1"/>
    <col min="36" max="36" width="2.42578125" customWidth="1"/>
    <col min="37" max="37" width="2.140625" customWidth="1"/>
    <col min="38" max="38" width="2.42578125" customWidth="1"/>
    <col min="39" max="39" width="2.140625" customWidth="1"/>
    <col min="40" max="40" width="2.42578125" customWidth="1"/>
    <col min="41" max="41" width="2.140625" customWidth="1"/>
    <col min="42" max="42" width="2.42578125" customWidth="1"/>
    <col min="43" max="43" width="2.140625" customWidth="1"/>
    <col min="44" max="44" width="2.42578125" customWidth="1"/>
    <col min="45" max="45" width="2.140625" customWidth="1"/>
    <col min="46" max="46" width="2.42578125" customWidth="1"/>
    <col min="47" max="47" width="2.140625" customWidth="1"/>
    <col min="48" max="48" width="2.42578125" customWidth="1"/>
    <col min="49" max="49" width="2.140625" customWidth="1"/>
    <col min="50" max="50" width="2.42578125" customWidth="1"/>
    <col min="51" max="51" width="2.140625" customWidth="1"/>
    <col min="53" max="53" width="8.42578125" customWidth="1"/>
    <col min="54" max="55" width="9.140625" hidden="1" customWidth="1"/>
    <col min="57" max="57" width="1.85546875" customWidth="1"/>
    <col min="58" max="59" width="9.140625" hidden="1" customWidth="1"/>
    <col min="61" max="61" width="3.42578125" customWidth="1"/>
    <col min="62" max="62" width="1.28515625" customWidth="1"/>
    <col min="63" max="63" width="9.140625" hidden="1" customWidth="1"/>
    <col min="65" max="65" width="3.42578125" customWidth="1"/>
    <col min="66" max="66" width="9.140625" hidden="1" customWidth="1"/>
    <col min="67" max="67" width="5.42578125" customWidth="1"/>
  </cols>
  <sheetData>
    <row r="1" spans="1:68" ht="15" customHeight="1">
      <c r="A1" s="170" t="s">
        <v>170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</row>
    <row r="2" spans="1:68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</row>
    <row r="3" spans="1:68" ht="15.95">
      <c r="A3" s="171" t="s">
        <v>171</v>
      </c>
      <c r="B3" s="172" t="s">
        <v>172</v>
      </c>
      <c r="C3" s="17"/>
      <c r="D3" s="174" t="s">
        <v>173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 t="s">
        <v>174</v>
      </c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74"/>
    </row>
    <row r="4" spans="1:68" ht="15.75" customHeight="1">
      <c r="A4" s="171"/>
      <c r="B4" s="173"/>
      <c r="C4" s="18"/>
      <c r="D4" s="167" t="s">
        <v>175</v>
      </c>
      <c r="E4" s="168"/>
      <c r="F4" s="168"/>
      <c r="G4" s="169"/>
      <c r="H4" s="167" t="s">
        <v>176</v>
      </c>
      <c r="I4" s="168"/>
      <c r="J4" s="168"/>
      <c r="K4" s="169"/>
      <c r="L4" s="167" t="s">
        <v>177</v>
      </c>
      <c r="M4" s="168"/>
      <c r="N4" s="168"/>
      <c r="O4" s="169"/>
      <c r="P4" s="167" t="s">
        <v>178</v>
      </c>
      <c r="Q4" s="168"/>
      <c r="R4" s="168"/>
      <c r="S4" s="169"/>
      <c r="T4" s="167" t="s">
        <v>179</v>
      </c>
      <c r="U4" s="168"/>
      <c r="V4" s="168"/>
      <c r="W4" s="169"/>
      <c r="X4" s="167" t="s">
        <v>180</v>
      </c>
      <c r="Y4" s="168"/>
      <c r="Z4" s="168"/>
      <c r="AA4" s="169"/>
      <c r="AB4" s="167" t="s">
        <v>181</v>
      </c>
      <c r="AC4" s="168"/>
      <c r="AD4" s="168"/>
      <c r="AE4" s="169"/>
      <c r="AF4" s="167" t="s">
        <v>182</v>
      </c>
      <c r="AG4" s="168"/>
      <c r="AH4" s="168"/>
      <c r="AI4" s="169"/>
      <c r="AJ4" s="167" t="s">
        <v>183</v>
      </c>
      <c r="AK4" s="168"/>
      <c r="AL4" s="168"/>
      <c r="AM4" s="169"/>
      <c r="AN4" s="167" t="s">
        <v>184</v>
      </c>
      <c r="AO4" s="168"/>
      <c r="AP4" s="168"/>
      <c r="AQ4" s="169"/>
      <c r="AR4" s="167" t="s">
        <v>185</v>
      </c>
      <c r="AS4" s="168"/>
      <c r="AT4" s="168"/>
      <c r="AU4" s="169"/>
      <c r="AV4" s="167" t="s">
        <v>186</v>
      </c>
      <c r="AW4" s="168"/>
      <c r="AX4" s="168"/>
      <c r="AY4" s="169"/>
      <c r="AZ4" s="175" t="s">
        <v>187</v>
      </c>
      <c r="BA4" s="175"/>
      <c r="BB4" s="175"/>
      <c r="BC4" s="175"/>
      <c r="BD4" s="176" t="s">
        <v>188</v>
      </c>
      <c r="BE4" s="176"/>
      <c r="BF4" s="176"/>
      <c r="BG4" s="176"/>
      <c r="BH4" s="176" t="s">
        <v>189</v>
      </c>
      <c r="BI4" s="176"/>
      <c r="BJ4" s="176"/>
      <c r="BK4" s="176"/>
      <c r="BL4" s="176" t="s">
        <v>190</v>
      </c>
      <c r="BM4" s="176"/>
      <c r="BN4" s="176"/>
      <c r="BO4" s="176"/>
    </row>
    <row r="5" spans="1:68" ht="34.5" customHeight="1">
      <c r="A5" s="171"/>
      <c r="B5" s="173"/>
      <c r="C5" s="18" t="s">
        <v>191</v>
      </c>
      <c r="D5" s="19">
        <v>1</v>
      </c>
      <c r="E5" s="19">
        <v>2</v>
      </c>
      <c r="F5" s="19">
        <v>3</v>
      </c>
      <c r="G5" s="19">
        <v>4</v>
      </c>
      <c r="H5" s="19">
        <v>1</v>
      </c>
      <c r="I5" s="19">
        <v>2</v>
      </c>
      <c r="J5" s="19">
        <v>3</v>
      </c>
      <c r="K5" s="19">
        <v>4</v>
      </c>
      <c r="L5" s="19">
        <v>1</v>
      </c>
      <c r="M5" s="19">
        <v>2</v>
      </c>
      <c r="N5" s="19">
        <v>3</v>
      </c>
      <c r="O5" s="19">
        <v>4</v>
      </c>
      <c r="P5" s="19">
        <v>1</v>
      </c>
      <c r="Q5" s="19">
        <v>2</v>
      </c>
      <c r="R5" s="19">
        <v>3</v>
      </c>
      <c r="S5" s="19">
        <v>4</v>
      </c>
      <c r="T5" s="19">
        <v>1</v>
      </c>
      <c r="U5" s="19">
        <v>2</v>
      </c>
      <c r="V5" s="19">
        <v>3</v>
      </c>
      <c r="W5" s="19">
        <v>4</v>
      </c>
      <c r="X5" s="19">
        <v>1</v>
      </c>
      <c r="Y5" s="19">
        <v>2</v>
      </c>
      <c r="Z5" s="19">
        <v>3</v>
      </c>
      <c r="AA5" s="19">
        <v>4</v>
      </c>
      <c r="AB5" s="19">
        <v>1</v>
      </c>
      <c r="AC5" s="19">
        <v>2</v>
      </c>
      <c r="AD5" s="19">
        <v>3</v>
      </c>
      <c r="AE5" s="19">
        <v>4</v>
      </c>
      <c r="AF5" s="19">
        <v>1</v>
      </c>
      <c r="AG5" s="19">
        <v>2</v>
      </c>
      <c r="AH5" s="19">
        <v>3</v>
      </c>
      <c r="AI5" s="19">
        <v>4</v>
      </c>
      <c r="AJ5" s="19">
        <v>1</v>
      </c>
      <c r="AK5" s="19">
        <v>2</v>
      </c>
      <c r="AL5" s="19">
        <v>3</v>
      </c>
      <c r="AM5" s="19">
        <v>4</v>
      </c>
      <c r="AN5" s="19">
        <v>1</v>
      </c>
      <c r="AO5" s="19">
        <v>2</v>
      </c>
      <c r="AP5" s="19">
        <v>3</v>
      </c>
      <c r="AQ5" s="19">
        <v>4</v>
      </c>
      <c r="AR5" s="19">
        <v>1</v>
      </c>
      <c r="AS5" s="19">
        <v>2</v>
      </c>
      <c r="AT5" s="19">
        <v>3</v>
      </c>
      <c r="AU5" s="19">
        <v>4</v>
      </c>
      <c r="AV5" s="19">
        <v>1</v>
      </c>
      <c r="AW5" s="19">
        <v>2</v>
      </c>
      <c r="AX5" s="19">
        <v>3</v>
      </c>
      <c r="AY5" s="19">
        <v>4</v>
      </c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3"/>
      <c r="BL5" s="163"/>
      <c r="BM5" s="163"/>
      <c r="BN5" s="163"/>
      <c r="BO5" s="163"/>
    </row>
    <row r="6" spans="1:68" ht="15.95">
      <c r="A6" s="164">
        <v>1</v>
      </c>
      <c r="B6" s="166" t="s">
        <v>192</v>
      </c>
      <c r="C6" s="20" t="s">
        <v>193</v>
      </c>
      <c r="D6" s="21"/>
      <c r="E6" s="22"/>
      <c r="F6" s="22"/>
      <c r="G6" s="22"/>
      <c r="H6" s="23"/>
      <c r="I6" s="24"/>
      <c r="J6" s="24"/>
      <c r="K6" s="24"/>
      <c r="L6" s="23"/>
      <c r="M6" s="24"/>
      <c r="N6" s="24"/>
      <c r="O6" s="24"/>
      <c r="P6" s="23"/>
      <c r="Q6" s="24"/>
      <c r="R6" s="24"/>
      <c r="S6" s="24"/>
      <c r="T6" s="23"/>
      <c r="U6" s="24"/>
      <c r="V6" s="24"/>
      <c r="W6" s="24"/>
      <c r="X6" s="23"/>
      <c r="Y6" s="24"/>
      <c r="Z6" s="24"/>
      <c r="AA6" s="24"/>
      <c r="AB6" s="23"/>
      <c r="AC6" s="24"/>
      <c r="AD6" s="24"/>
      <c r="AE6" s="24"/>
      <c r="AF6" s="23"/>
      <c r="AG6" s="24"/>
      <c r="AH6" s="24"/>
      <c r="AI6" s="24"/>
      <c r="AJ6" s="23"/>
      <c r="AK6" s="24"/>
      <c r="AL6" s="24"/>
      <c r="AM6" s="24"/>
      <c r="AN6" s="23"/>
      <c r="AO6" s="24"/>
      <c r="AP6" s="24"/>
      <c r="AQ6" s="24"/>
      <c r="AR6" s="23"/>
      <c r="AS6" s="24"/>
      <c r="AT6" s="24"/>
      <c r="AU6" s="24"/>
      <c r="AV6" s="23"/>
      <c r="AW6" s="24"/>
      <c r="AX6" s="24"/>
      <c r="AY6" s="24"/>
      <c r="AZ6" s="140" t="s">
        <v>194</v>
      </c>
      <c r="BA6" s="140"/>
      <c r="BB6" s="140"/>
      <c r="BC6" s="140"/>
      <c r="BD6" s="162" t="s">
        <v>195</v>
      </c>
      <c r="BE6" s="162"/>
      <c r="BF6" s="162"/>
      <c r="BG6" s="162"/>
      <c r="BH6" s="162" t="s">
        <v>196</v>
      </c>
      <c r="BI6" s="162"/>
      <c r="BJ6" s="162"/>
      <c r="BK6" s="162"/>
      <c r="BL6" s="162" t="s">
        <v>193</v>
      </c>
      <c r="BM6" s="162"/>
      <c r="BN6" s="162"/>
      <c r="BO6" s="162"/>
    </row>
    <row r="7" spans="1:68" ht="21.75" customHeight="1">
      <c r="A7" s="164"/>
      <c r="B7" s="166"/>
      <c r="C7" s="25" t="s">
        <v>195</v>
      </c>
      <c r="D7" s="26"/>
      <c r="E7" s="27"/>
      <c r="F7" s="27"/>
      <c r="G7" s="27"/>
      <c r="H7" s="26"/>
      <c r="I7" s="27"/>
      <c r="J7" s="27"/>
      <c r="K7" s="27"/>
      <c r="L7" s="26"/>
      <c r="M7" s="27"/>
      <c r="N7" s="27"/>
      <c r="O7" s="27"/>
      <c r="P7" s="26"/>
      <c r="Q7" s="27"/>
      <c r="R7" s="27"/>
      <c r="S7" s="27"/>
      <c r="T7" s="26"/>
      <c r="U7" s="27"/>
      <c r="V7" s="27"/>
      <c r="W7" s="27"/>
      <c r="X7" s="26"/>
      <c r="Y7" s="27"/>
      <c r="Z7" s="27"/>
      <c r="AA7" s="27"/>
      <c r="AB7" s="23"/>
      <c r="AC7" s="24"/>
      <c r="AD7" s="24"/>
      <c r="AE7" s="24"/>
      <c r="AF7" s="23"/>
      <c r="AG7" s="24"/>
      <c r="AH7" s="24"/>
      <c r="AI7" s="24"/>
      <c r="AJ7" s="23"/>
      <c r="AK7" s="24"/>
      <c r="AL7" s="24"/>
      <c r="AM7" s="24"/>
      <c r="AN7" s="23"/>
      <c r="AO7" s="24"/>
      <c r="AP7" s="24"/>
      <c r="AQ7" s="24"/>
      <c r="AR7" s="23"/>
      <c r="AS7" s="24"/>
      <c r="AT7" s="24"/>
      <c r="AU7" s="24"/>
      <c r="AV7" s="23"/>
      <c r="AW7" s="24"/>
      <c r="AX7" s="24"/>
      <c r="AY7" s="24"/>
      <c r="AZ7" s="140"/>
      <c r="BA7" s="140"/>
      <c r="BB7" s="140"/>
      <c r="BC7" s="140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</row>
    <row r="8" spans="1:68">
      <c r="A8" s="164"/>
      <c r="B8" s="165" t="s">
        <v>197</v>
      </c>
      <c r="C8" s="25"/>
      <c r="D8" s="23"/>
      <c r="E8" s="23"/>
      <c r="F8" s="23"/>
      <c r="G8" s="23"/>
      <c r="H8" s="28"/>
      <c r="I8" s="28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140" t="s">
        <v>193</v>
      </c>
      <c r="BA8" s="140"/>
      <c r="BB8" s="140"/>
      <c r="BC8" s="140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</row>
    <row r="9" spans="1:68" s="23" customFormat="1">
      <c r="A9" s="164"/>
      <c r="B9" s="165"/>
      <c r="C9" s="25"/>
      <c r="AZ9" s="140"/>
      <c r="BA9" s="140"/>
      <c r="BB9" s="140"/>
      <c r="BC9" s="140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29"/>
    </row>
    <row r="10" spans="1:68">
      <c r="A10" s="30">
        <v>2</v>
      </c>
      <c r="B10" s="157" t="s">
        <v>198</v>
      </c>
      <c r="C10" s="25" t="s">
        <v>193</v>
      </c>
      <c r="D10" s="23"/>
      <c r="E10" s="24"/>
      <c r="F10" s="24"/>
      <c r="G10" s="24"/>
      <c r="H10" s="21"/>
      <c r="I10" s="22"/>
      <c r="J10" s="24"/>
      <c r="K10" s="24"/>
      <c r="L10" s="23"/>
      <c r="M10" s="24"/>
      <c r="N10" s="24"/>
      <c r="O10" s="24"/>
      <c r="P10" s="23"/>
      <c r="Q10" s="24"/>
      <c r="R10" s="24"/>
      <c r="S10" s="24"/>
      <c r="T10" s="23"/>
      <c r="U10" s="24"/>
      <c r="V10" s="24"/>
      <c r="W10" s="24"/>
      <c r="X10" s="23"/>
      <c r="Y10" s="24"/>
      <c r="Z10" s="24"/>
      <c r="AA10" s="24"/>
      <c r="AB10" s="23"/>
      <c r="AC10" s="24"/>
      <c r="AD10" s="24"/>
      <c r="AE10" s="24"/>
      <c r="AF10" s="23"/>
      <c r="AG10" s="24"/>
      <c r="AH10" s="24"/>
      <c r="AI10" s="24"/>
      <c r="AJ10" s="23"/>
      <c r="AK10" s="24"/>
      <c r="AL10" s="24"/>
      <c r="AM10" s="24"/>
      <c r="AN10" s="23"/>
      <c r="AO10" s="24"/>
      <c r="AP10" s="24"/>
      <c r="AQ10" s="24"/>
      <c r="AR10" s="23"/>
      <c r="AS10" s="24"/>
      <c r="AT10" s="24"/>
      <c r="AU10" s="24"/>
      <c r="AV10" s="23"/>
      <c r="AW10" s="24"/>
      <c r="AX10" s="24"/>
      <c r="AY10" s="24"/>
      <c r="AZ10" s="140" t="s">
        <v>193</v>
      </c>
      <c r="BA10" s="140"/>
      <c r="BB10" s="140"/>
      <c r="BC10" s="140"/>
      <c r="BD10" s="161"/>
      <c r="BE10" s="161"/>
      <c r="BF10" s="161"/>
      <c r="BG10" s="161"/>
      <c r="BH10" s="162" t="s">
        <v>195</v>
      </c>
      <c r="BI10" s="162"/>
      <c r="BJ10" s="162"/>
      <c r="BK10" s="162"/>
      <c r="BL10" s="161" t="s">
        <v>195</v>
      </c>
      <c r="BM10" s="161"/>
      <c r="BN10" s="161"/>
      <c r="BO10" s="161"/>
    </row>
    <row r="11" spans="1:68">
      <c r="A11" s="30"/>
      <c r="B11" s="157"/>
      <c r="C11" s="25" t="s">
        <v>195</v>
      </c>
      <c r="D11" s="23"/>
      <c r="E11" s="24"/>
      <c r="F11" s="24"/>
      <c r="G11" s="24"/>
      <c r="H11" s="26"/>
      <c r="I11" s="27"/>
      <c r="J11" s="27"/>
      <c r="K11" s="27"/>
      <c r="L11" s="26"/>
      <c r="M11" s="27"/>
      <c r="N11" s="27"/>
      <c r="O11" s="27"/>
      <c r="P11" s="26"/>
      <c r="Q11" s="27"/>
      <c r="R11" s="27"/>
      <c r="S11" s="27"/>
      <c r="T11" s="26"/>
      <c r="U11" s="27"/>
      <c r="V11" s="27"/>
      <c r="W11" s="27"/>
      <c r="X11" s="26"/>
      <c r="Y11" s="27"/>
      <c r="Z11" s="27"/>
      <c r="AA11" s="27"/>
      <c r="AB11" s="26"/>
      <c r="AC11" s="27"/>
      <c r="AD11" s="27"/>
      <c r="AE11" s="27"/>
      <c r="AF11" s="26"/>
      <c r="AG11" s="27"/>
      <c r="AH11" s="27"/>
      <c r="AI11" s="24"/>
      <c r="AJ11" s="23"/>
      <c r="AK11" s="24"/>
      <c r="AL11" s="24"/>
      <c r="AM11" s="24"/>
      <c r="AN11" s="23"/>
      <c r="AO11" s="24"/>
      <c r="AP11" s="24"/>
      <c r="AQ11" s="24"/>
      <c r="AR11" s="23"/>
      <c r="AS11" s="24"/>
      <c r="AT11" s="24"/>
      <c r="AU11" s="24"/>
      <c r="AV11" s="23"/>
      <c r="AW11" s="24"/>
      <c r="AX11" s="24"/>
      <c r="AY11" s="24"/>
      <c r="AZ11" s="31"/>
      <c r="BA11" s="31"/>
      <c r="BB11" s="31"/>
      <c r="BC11" s="31"/>
      <c r="BD11" s="32"/>
      <c r="BE11" s="32"/>
      <c r="BF11" s="32"/>
      <c r="BG11" s="32"/>
      <c r="BH11" s="33"/>
      <c r="BI11" s="33"/>
      <c r="BJ11" s="33"/>
      <c r="BK11" s="33"/>
      <c r="BL11" s="32"/>
      <c r="BM11" s="32"/>
      <c r="BN11" s="32"/>
      <c r="BO11" s="32"/>
    </row>
    <row r="12" spans="1:68">
      <c r="A12" s="34">
        <v>3</v>
      </c>
      <c r="B12" s="157" t="s">
        <v>199</v>
      </c>
      <c r="C12" s="25" t="s">
        <v>193</v>
      </c>
      <c r="D12" s="23"/>
      <c r="E12" s="24"/>
      <c r="F12" s="24"/>
      <c r="G12" s="24"/>
      <c r="H12" s="35"/>
      <c r="I12" s="36"/>
      <c r="J12" s="24"/>
      <c r="K12" s="24"/>
      <c r="L12" s="23"/>
      <c r="M12" s="24"/>
      <c r="N12" s="24"/>
      <c r="O12" s="24"/>
      <c r="P12" s="23"/>
      <c r="Q12" s="24"/>
      <c r="R12" s="24"/>
      <c r="S12" s="24"/>
      <c r="T12" s="23"/>
      <c r="U12" s="24"/>
      <c r="V12" s="24"/>
      <c r="W12" s="24"/>
      <c r="X12" s="23"/>
      <c r="Y12" s="24"/>
      <c r="Z12" s="24"/>
      <c r="AA12" s="24"/>
      <c r="AB12" s="23"/>
      <c r="AC12" s="24"/>
      <c r="AD12" s="24"/>
      <c r="AE12" s="24"/>
      <c r="AF12" s="23"/>
      <c r="AG12" s="24"/>
      <c r="AH12" s="24"/>
      <c r="AI12" s="24"/>
      <c r="AJ12" s="23"/>
      <c r="AK12" s="24"/>
      <c r="AL12" s="24"/>
      <c r="AM12" s="24"/>
      <c r="AN12" s="23"/>
      <c r="AO12" s="24"/>
      <c r="AP12" s="24"/>
      <c r="AQ12" s="24"/>
      <c r="AR12" s="23"/>
      <c r="AS12" s="24"/>
      <c r="AT12" s="24"/>
      <c r="AU12" s="24"/>
      <c r="AV12" s="23"/>
      <c r="AW12" s="24"/>
      <c r="AX12" s="24"/>
      <c r="AY12" s="24"/>
      <c r="AZ12" s="140" t="s">
        <v>193</v>
      </c>
      <c r="BA12" s="140"/>
      <c r="BB12" s="140"/>
      <c r="BC12" s="140"/>
      <c r="BD12" s="140" t="s">
        <v>195</v>
      </c>
      <c r="BE12" s="140"/>
      <c r="BF12" s="140"/>
      <c r="BG12" s="140"/>
      <c r="BH12" s="140" t="s">
        <v>195</v>
      </c>
      <c r="BI12" s="140"/>
      <c r="BJ12" s="140"/>
      <c r="BK12" s="140"/>
      <c r="BL12" s="140" t="s">
        <v>195</v>
      </c>
      <c r="BM12" s="140"/>
      <c r="BN12" s="140"/>
      <c r="BO12" s="140"/>
    </row>
    <row r="13" spans="1:68">
      <c r="A13" s="34"/>
      <c r="B13" s="157"/>
      <c r="C13" s="25" t="s">
        <v>195</v>
      </c>
      <c r="D13" s="23"/>
      <c r="E13" s="24"/>
      <c r="F13" s="24"/>
      <c r="G13" s="24"/>
      <c r="H13" s="26"/>
      <c r="I13" s="27"/>
      <c r="J13" s="27"/>
      <c r="K13" s="27"/>
      <c r="L13" s="26"/>
      <c r="M13" s="27"/>
      <c r="N13" s="27"/>
      <c r="O13" s="27"/>
      <c r="P13" s="26"/>
      <c r="Q13" s="27"/>
      <c r="R13" s="27"/>
      <c r="S13" s="27"/>
      <c r="T13" s="26"/>
      <c r="U13" s="27"/>
      <c r="V13" s="27"/>
      <c r="W13" s="27"/>
      <c r="X13" s="26"/>
      <c r="Y13" s="27"/>
      <c r="Z13" s="27"/>
      <c r="AA13" s="27"/>
      <c r="AB13" s="26"/>
      <c r="AC13" s="27"/>
      <c r="AD13" s="27"/>
      <c r="AE13" s="27"/>
      <c r="AF13" s="26"/>
      <c r="AG13" s="27"/>
      <c r="AH13" s="27"/>
      <c r="AI13" s="24"/>
      <c r="AJ13" s="23"/>
      <c r="AK13" s="24"/>
      <c r="AL13" s="24"/>
      <c r="AM13" s="24"/>
      <c r="AN13" s="23"/>
      <c r="AO13" s="24"/>
      <c r="AP13" s="24"/>
      <c r="AQ13" s="24"/>
      <c r="AR13" s="23"/>
      <c r="AS13" s="24"/>
      <c r="AT13" s="24"/>
      <c r="AU13" s="24"/>
      <c r="AV13" s="23"/>
      <c r="AW13" s="24"/>
      <c r="AX13" s="24"/>
      <c r="AY13" s="24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</row>
    <row r="14" spans="1:68">
      <c r="A14" s="34">
        <v>4</v>
      </c>
      <c r="B14" s="37" t="s">
        <v>200</v>
      </c>
      <c r="C14" s="25" t="s">
        <v>193</v>
      </c>
      <c r="D14" s="23"/>
      <c r="E14" s="24"/>
      <c r="F14" s="24"/>
      <c r="G14" s="24"/>
      <c r="H14" s="35"/>
      <c r="I14" s="36"/>
      <c r="J14" s="24"/>
      <c r="K14" s="24"/>
      <c r="L14" s="23"/>
      <c r="M14" s="24"/>
      <c r="N14" s="24"/>
      <c r="O14" s="24"/>
      <c r="P14" s="23"/>
      <c r="Q14" s="24"/>
      <c r="R14" s="24"/>
      <c r="S14" s="24"/>
      <c r="T14" s="23"/>
      <c r="U14" s="24"/>
      <c r="V14" s="24"/>
      <c r="W14" s="24"/>
      <c r="X14" s="23"/>
      <c r="Y14" s="24"/>
      <c r="Z14" s="24"/>
      <c r="AA14" s="24"/>
      <c r="AB14" s="23"/>
      <c r="AC14" s="24"/>
      <c r="AD14" s="24"/>
      <c r="AE14" s="24"/>
      <c r="AF14" s="23"/>
      <c r="AG14" s="24"/>
      <c r="AH14" s="24"/>
      <c r="AI14" s="24"/>
      <c r="AJ14" s="23"/>
      <c r="AK14" s="24"/>
      <c r="AL14" s="24"/>
      <c r="AM14" s="24"/>
      <c r="AN14" s="23"/>
      <c r="AO14" s="24"/>
      <c r="AP14" s="24"/>
      <c r="AQ14" s="24"/>
      <c r="AR14" s="23"/>
      <c r="AS14" s="24"/>
      <c r="AT14" s="24"/>
      <c r="AU14" s="24"/>
      <c r="AV14" s="23"/>
      <c r="AW14" s="24"/>
      <c r="AX14" s="24"/>
      <c r="AY14" s="24"/>
      <c r="AZ14" s="140" t="s">
        <v>193</v>
      </c>
      <c r="BA14" s="140"/>
      <c r="BB14" s="140"/>
      <c r="BC14" s="140"/>
      <c r="BD14" s="140" t="s">
        <v>195</v>
      </c>
      <c r="BE14" s="140"/>
      <c r="BF14" s="140"/>
      <c r="BG14" s="140"/>
      <c r="BH14" s="140" t="s">
        <v>195</v>
      </c>
      <c r="BI14" s="140"/>
      <c r="BJ14" s="140"/>
      <c r="BK14" s="140"/>
      <c r="BL14" s="140" t="s">
        <v>195</v>
      </c>
      <c r="BM14" s="140"/>
      <c r="BN14" s="140"/>
      <c r="BO14" s="140"/>
    </row>
    <row r="15" spans="1:68">
      <c r="A15" s="34"/>
      <c r="B15" s="37"/>
      <c r="C15" s="25" t="s">
        <v>195</v>
      </c>
      <c r="D15" s="23"/>
      <c r="E15" s="24"/>
      <c r="F15" s="24"/>
      <c r="G15" s="24"/>
      <c r="H15" s="26"/>
      <c r="I15" s="27"/>
      <c r="J15" s="27"/>
      <c r="K15" s="27"/>
      <c r="L15" s="26"/>
      <c r="M15" s="27"/>
      <c r="N15" s="27"/>
      <c r="O15" s="27"/>
      <c r="P15" s="26"/>
      <c r="Q15" s="27"/>
      <c r="R15" s="27"/>
      <c r="S15" s="27"/>
      <c r="T15" s="26"/>
      <c r="U15" s="27"/>
      <c r="V15" s="27"/>
      <c r="W15" s="27"/>
      <c r="X15" s="26"/>
      <c r="Y15" s="27"/>
      <c r="Z15" s="27"/>
      <c r="AA15" s="27"/>
      <c r="AB15" s="26"/>
      <c r="AC15" s="27"/>
      <c r="AD15" s="27"/>
      <c r="AE15" s="27"/>
      <c r="AF15" s="26"/>
      <c r="AG15" s="27"/>
      <c r="AH15" s="27"/>
      <c r="AI15" s="24"/>
      <c r="AJ15" s="23"/>
      <c r="AK15" s="24"/>
      <c r="AL15" s="24"/>
      <c r="AM15" s="24"/>
      <c r="AN15" s="23"/>
      <c r="AO15" s="24"/>
      <c r="AP15" s="24"/>
      <c r="AQ15" s="24"/>
      <c r="AR15" s="23"/>
      <c r="AS15" s="24"/>
      <c r="AT15" s="24"/>
      <c r="AU15" s="24"/>
      <c r="AV15" s="23"/>
      <c r="AW15" s="24"/>
      <c r="AX15" s="24"/>
      <c r="AY15" s="24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</row>
    <row r="16" spans="1:68">
      <c r="A16" s="30">
        <v>5</v>
      </c>
      <c r="B16" s="157" t="s">
        <v>201</v>
      </c>
      <c r="C16" s="25" t="s">
        <v>193</v>
      </c>
      <c r="D16" s="23"/>
      <c r="E16" s="24"/>
      <c r="F16" s="24"/>
      <c r="G16" s="24"/>
      <c r="H16" s="35"/>
      <c r="I16" s="36"/>
      <c r="J16" s="24"/>
      <c r="K16" s="24"/>
      <c r="L16" s="23"/>
      <c r="M16" s="24"/>
      <c r="N16" s="24"/>
      <c r="O16" s="24"/>
      <c r="P16" s="23"/>
      <c r="Q16" s="24"/>
      <c r="R16" s="24"/>
      <c r="S16" s="24"/>
      <c r="T16" s="23"/>
      <c r="U16" s="24"/>
      <c r="V16" s="24"/>
      <c r="W16" s="24"/>
      <c r="X16" s="23"/>
      <c r="Y16" s="24"/>
      <c r="Z16" s="24"/>
      <c r="AA16" s="24"/>
      <c r="AB16" s="23"/>
      <c r="AC16" s="24"/>
      <c r="AD16" s="24"/>
      <c r="AE16" s="24"/>
      <c r="AF16" s="23"/>
      <c r="AG16" s="24"/>
      <c r="AH16" s="24"/>
      <c r="AI16" s="24"/>
      <c r="AJ16" s="23"/>
      <c r="AK16" s="24"/>
      <c r="AL16" s="24"/>
      <c r="AM16" s="24"/>
      <c r="AN16" s="23"/>
      <c r="AO16" s="24"/>
      <c r="AP16" s="24"/>
      <c r="AQ16" s="24"/>
      <c r="AR16" s="23"/>
      <c r="AS16" s="24"/>
      <c r="AT16" s="24"/>
      <c r="AU16" s="24"/>
      <c r="AV16" s="23"/>
      <c r="AW16" s="24"/>
      <c r="AX16" s="24"/>
      <c r="AY16" s="24"/>
      <c r="AZ16" s="140" t="s">
        <v>193</v>
      </c>
      <c r="BA16" s="140"/>
      <c r="BB16" s="140"/>
      <c r="BC16" s="140"/>
      <c r="BD16" s="141" t="s">
        <v>202</v>
      </c>
      <c r="BE16" s="141"/>
      <c r="BF16" s="141"/>
      <c r="BG16" s="141"/>
      <c r="BH16" s="141" t="s">
        <v>195</v>
      </c>
      <c r="BI16" s="141"/>
      <c r="BJ16" s="141"/>
      <c r="BK16" s="141"/>
      <c r="BL16" s="151" t="s">
        <v>195</v>
      </c>
      <c r="BM16" s="151"/>
      <c r="BN16" s="151"/>
      <c r="BO16" s="151"/>
    </row>
    <row r="17" spans="1:67">
      <c r="A17" s="30"/>
      <c r="B17" s="157"/>
      <c r="C17" s="25" t="s">
        <v>195</v>
      </c>
      <c r="D17" s="23"/>
      <c r="E17" s="24"/>
      <c r="F17" s="24"/>
      <c r="G17" s="24"/>
      <c r="H17" s="38"/>
      <c r="I17" s="39"/>
      <c r="J17" s="39"/>
      <c r="K17" s="39"/>
      <c r="L17" s="38"/>
      <c r="M17" s="39"/>
      <c r="N17" s="39"/>
      <c r="O17" s="39"/>
      <c r="P17" s="38"/>
      <c r="Q17" s="39"/>
      <c r="R17" s="39"/>
      <c r="S17" s="39"/>
      <c r="T17" s="38"/>
      <c r="U17" s="39"/>
      <c r="V17" s="39"/>
      <c r="W17" s="39"/>
      <c r="X17" s="38"/>
      <c r="Y17" s="39"/>
      <c r="Z17" s="39"/>
      <c r="AA17" s="39"/>
      <c r="AB17" s="38"/>
      <c r="AC17" s="39"/>
      <c r="AD17" s="39"/>
      <c r="AE17" s="39"/>
      <c r="AF17" s="38"/>
      <c r="AG17" s="39"/>
      <c r="AH17" s="39"/>
      <c r="AI17" s="39"/>
      <c r="AJ17" s="23"/>
      <c r="AK17" s="24"/>
      <c r="AL17" s="24"/>
      <c r="AM17" s="24"/>
      <c r="AN17" s="23"/>
      <c r="AO17" s="24"/>
      <c r="AP17" s="24"/>
      <c r="AQ17" s="24"/>
      <c r="AR17" s="23"/>
      <c r="AS17" s="24"/>
      <c r="AT17" s="24"/>
      <c r="AU17" s="24"/>
      <c r="AV17" s="23"/>
      <c r="AW17" s="24"/>
      <c r="AX17" s="24"/>
      <c r="AY17" s="24"/>
      <c r="AZ17" s="142"/>
      <c r="BA17" s="144"/>
      <c r="BB17" s="31"/>
      <c r="BC17" s="31"/>
      <c r="BD17" s="158"/>
      <c r="BE17" s="159"/>
      <c r="BF17" s="40"/>
      <c r="BG17" s="40"/>
      <c r="BH17" s="158"/>
      <c r="BI17" s="160"/>
      <c r="BJ17" s="159"/>
      <c r="BK17" s="40"/>
      <c r="BL17" s="148"/>
      <c r="BM17" s="149"/>
      <c r="BN17" s="149"/>
      <c r="BO17" s="150"/>
    </row>
    <row r="18" spans="1:67">
      <c r="A18" s="155">
        <v>6</v>
      </c>
      <c r="B18" s="156" t="s">
        <v>203</v>
      </c>
      <c r="C18" s="41" t="s">
        <v>193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35"/>
      <c r="Y18" s="35"/>
      <c r="Z18" s="35"/>
      <c r="AA18" s="35"/>
      <c r="AB18" s="23"/>
      <c r="AC18" s="23"/>
      <c r="AD18" s="23"/>
      <c r="AE18" s="23"/>
      <c r="AF18" s="23"/>
      <c r="AG18" s="23"/>
      <c r="AH18" s="23"/>
      <c r="AI18" s="23"/>
      <c r="AJ18" s="28"/>
      <c r="AK18" s="28"/>
      <c r="AL18" s="28"/>
      <c r="AM18" s="28"/>
      <c r="AN18" s="23"/>
      <c r="AO18" s="23"/>
      <c r="AP18" s="23"/>
      <c r="AQ18" s="23"/>
      <c r="AR18" s="23"/>
      <c r="AS18" s="23"/>
      <c r="AT18" s="23"/>
      <c r="AU18" s="23"/>
      <c r="AV18" s="28"/>
      <c r="AW18" s="28"/>
      <c r="AX18" s="28"/>
      <c r="AY18" s="28"/>
      <c r="AZ18" s="151" t="s">
        <v>204</v>
      </c>
      <c r="BA18" s="151"/>
      <c r="BB18" s="151"/>
      <c r="BC18" s="151"/>
      <c r="BD18" s="140" t="s">
        <v>196</v>
      </c>
      <c r="BE18" s="140"/>
      <c r="BF18" s="140"/>
      <c r="BG18" s="140"/>
      <c r="BH18" s="140" t="s">
        <v>196</v>
      </c>
      <c r="BI18" s="140"/>
      <c r="BJ18" s="140"/>
      <c r="BK18" s="140"/>
      <c r="BL18" s="140" t="s">
        <v>196</v>
      </c>
      <c r="BM18" s="140"/>
      <c r="BN18" s="140"/>
      <c r="BO18" s="140"/>
    </row>
    <row r="19" spans="1:67">
      <c r="A19" s="155"/>
      <c r="B19" s="156"/>
      <c r="C19" s="41" t="s">
        <v>195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151"/>
      <c r="BA19" s="151"/>
      <c r="BB19" s="151"/>
      <c r="BC19" s="151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</row>
    <row r="20" spans="1:67" ht="17.25" customHeight="1">
      <c r="A20" s="42"/>
      <c r="B20" s="43" t="s">
        <v>205</v>
      </c>
      <c r="C20" s="41"/>
      <c r="D20" s="23"/>
      <c r="E20" s="23"/>
      <c r="F20" s="23"/>
      <c r="G20" s="23"/>
      <c r="H20" s="23"/>
      <c r="I20" s="23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152" t="s">
        <v>206</v>
      </c>
      <c r="BA20" s="153"/>
      <c r="BB20" s="153"/>
      <c r="BC20" s="154"/>
      <c r="BD20" s="141"/>
      <c r="BE20" s="141"/>
      <c r="BF20" s="141"/>
      <c r="BG20" s="141"/>
      <c r="BH20" s="141"/>
      <c r="BI20" s="141"/>
      <c r="BJ20" s="141"/>
      <c r="BK20" s="141"/>
      <c r="BL20" s="151"/>
      <c r="BM20" s="151"/>
      <c r="BN20" s="151"/>
      <c r="BO20" s="151"/>
    </row>
    <row r="21" spans="1:67">
      <c r="A21" s="44">
        <v>7</v>
      </c>
      <c r="B21" s="45" t="s">
        <v>207</v>
      </c>
      <c r="C21" s="41" t="s">
        <v>193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35"/>
      <c r="AB21" s="35"/>
      <c r="AC21" s="35"/>
      <c r="AD21" s="35"/>
      <c r="AE21" s="35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141" t="s">
        <v>193</v>
      </c>
      <c r="BA21" s="141"/>
      <c r="BB21" s="141"/>
      <c r="BC21" s="141"/>
      <c r="BD21" s="141" t="s">
        <v>195</v>
      </c>
      <c r="BE21" s="141"/>
      <c r="BF21" s="141"/>
      <c r="BG21" s="141"/>
      <c r="BH21" s="141" t="s">
        <v>195</v>
      </c>
      <c r="BI21" s="141"/>
      <c r="BJ21" s="141"/>
      <c r="BK21" s="141"/>
      <c r="BL21" s="151"/>
      <c r="BM21" s="151"/>
      <c r="BN21" s="151"/>
      <c r="BO21" s="151"/>
    </row>
    <row r="22" spans="1:67">
      <c r="A22" s="44"/>
      <c r="B22" s="45"/>
      <c r="C22" s="41" t="s">
        <v>195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8"/>
      <c r="AB22" s="28"/>
      <c r="AC22" s="28"/>
      <c r="AD22" s="28"/>
      <c r="AE22" s="28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6"/>
      <c r="BM22" s="46"/>
      <c r="BN22" s="46"/>
      <c r="BO22" s="46"/>
    </row>
    <row r="23" spans="1:67">
      <c r="A23" s="34">
        <v>8</v>
      </c>
      <c r="B23" s="47" t="s">
        <v>208</v>
      </c>
      <c r="C23" s="41" t="s">
        <v>193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35"/>
      <c r="AE23" s="35"/>
      <c r="AF23" s="35"/>
      <c r="AG23" s="35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140"/>
      <c r="BA23" s="140"/>
      <c r="BB23" s="140"/>
      <c r="BC23" s="140"/>
      <c r="BD23" s="140"/>
      <c r="BE23" s="140"/>
      <c r="BF23" s="140"/>
      <c r="BG23" s="140"/>
      <c r="BH23" s="140" t="s">
        <v>209</v>
      </c>
      <c r="BI23" s="140"/>
      <c r="BJ23" s="140"/>
      <c r="BK23" s="140"/>
      <c r="BL23" s="140"/>
      <c r="BM23" s="140"/>
      <c r="BN23" s="140"/>
      <c r="BO23" s="140"/>
    </row>
    <row r="24" spans="1:67">
      <c r="A24" s="34"/>
      <c r="B24" s="47"/>
      <c r="C24" s="41" t="s">
        <v>195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8"/>
      <c r="AE24" s="28"/>
      <c r="AF24" s="28"/>
      <c r="AG24" s="28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</row>
    <row r="25" spans="1:67">
      <c r="A25" s="34">
        <v>9</v>
      </c>
      <c r="B25" s="45" t="s">
        <v>210</v>
      </c>
      <c r="C25" s="41" t="s">
        <v>193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35"/>
      <c r="AG25" s="35"/>
      <c r="AH25" s="35"/>
      <c r="AI25" s="35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140"/>
      <c r="BA25" s="140"/>
      <c r="BB25" s="140"/>
      <c r="BC25" s="140"/>
      <c r="BD25" s="140"/>
      <c r="BE25" s="140"/>
      <c r="BF25" s="140"/>
      <c r="BG25" s="140"/>
      <c r="BH25" s="140" t="s">
        <v>195</v>
      </c>
      <c r="BI25" s="140"/>
      <c r="BJ25" s="140"/>
      <c r="BK25" s="140"/>
      <c r="BL25" s="140" t="s">
        <v>195</v>
      </c>
      <c r="BM25" s="140"/>
      <c r="BN25" s="140"/>
      <c r="BO25" s="140"/>
    </row>
    <row r="26" spans="1:67">
      <c r="A26" s="34"/>
      <c r="B26" s="45"/>
      <c r="C26" s="41" t="s">
        <v>195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8"/>
      <c r="AG26" s="28"/>
      <c r="AH26" s="28"/>
      <c r="AI26" s="28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</row>
    <row r="27" spans="1:67">
      <c r="A27" s="34">
        <v>10</v>
      </c>
      <c r="B27" s="45" t="s">
        <v>211</v>
      </c>
      <c r="C27" s="41" t="s">
        <v>193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35"/>
      <c r="AK27" s="35"/>
      <c r="AL27" s="35"/>
      <c r="AM27" s="35"/>
      <c r="AN27" s="35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140"/>
      <c r="BA27" s="140"/>
      <c r="BB27" s="140"/>
      <c r="BC27" s="140"/>
      <c r="BD27" s="140" t="s">
        <v>195</v>
      </c>
      <c r="BE27" s="140"/>
      <c r="BF27" s="140"/>
      <c r="BG27" s="140"/>
      <c r="BH27" s="140" t="s">
        <v>195</v>
      </c>
      <c r="BI27" s="140"/>
      <c r="BJ27" s="140"/>
      <c r="BK27" s="140"/>
      <c r="BL27" s="140" t="s">
        <v>195</v>
      </c>
      <c r="BM27" s="140"/>
      <c r="BN27" s="140"/>
      <c r="BO27" s="140"/>
    </row>
    <row r="28" spans="1:67">
      <c r="A28" s="34"/>
      <c r="B28" s="37"/>
      <c r="C28" s="41" t="s">
        <v>195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142"/>
      <c r="BA28" s="144"/>
      <c r="BB28" s="31"/>
      <c r="BC28" s="31"/>
      <c r="BD28" s="142"/>
      <c r="BE28" s="144"/>
      <c r="BF28" s="31"/>
      <c r="BG28" s="31"/>
      <c r="BH28" s="142"/>
      <c r="BI28" s="143"/>
      <c r="BJ28" s="144"/>
      <c r="BK28" s="31"/>
      <c r="BL28" s="142"/>
      <c r="BM28" s="143"/>
      <c r="BN28" s="143"/>
      <c r="BO28" s="144"/>
    </row>
    <row r="29" spans="1:67" ht="30.75" customHeight="1">
      <c r="A29" s="44">
        <v>11</v>
      </c>
      <c r="B29" s="48" t="s">
        <v>212</v>
      </c>
      <c r="C29" s="41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35"/>
      <c r="AM29" s="35"/>
      <c r="AN29" s="35"/>
      <c r="AO29" s="35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151" t="s">
        <v>213</v>
      </c>
      <c r="BA29" s="151"/>
      <c r="BB29" s="151"/>
      <c r="BC29" s="151"/>
      <c r="BD29" s="141" t="s">
        <v>202</v>
      </c>
      <c r="BE29" s="141"/>
      <c r="BF29" s="141"/>
      <c r="BG29" s="141"/>
      <c r="BH29" s="141" t="s">
        <v>195</v>
      </c>
      <c r="BI29" s="141"/>
      <c r="BJ29" s="141"/>
      <c r="BK29" s="141"/>
      <c r="BL29" s="151" t="s">
        <v>195</v>
      </c>
      <c r="BM29" s="151"/>
      <c r="BN29" s="151"/>
      <c r="BO29" s="151"/>
    </row>
    <row r="30" spans="1:67">
      <c r="A30" s="42"/>
      <c r="B30" s="48"/>
      <c r="C30" s="41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141"/>
      <c r="BA30" s="141"/>
      <c r="BB30" s="141"/>
      <c r="BC30" s="141"/>
      <c r="BD30" s="141"/>
      <c r="BE30" s="141"/>
      <c r="BF30" s="40"/>
      <c r="BG30" s="40"/>
      <c r="BH30" s="141"/>
      <c r="BI30" s="141"/>
      <c r="BJ30" s="141"/>
      <c r="BK30" s="40"/>
      <c r="BL30" s="148"/>
      <c r="BM30" s="149"/>
      <c r="BN30" s="149"/>
      <c r="BO30" s="150"/>
    </row>
    <row r="31" spans="1:67">
      <c r="A31" s="44">
        <v>12</v>
      </c>
      <c r="B31" s="48" t="s">
        <v>214</v>
      </c>
      <c r="C31" s="41" t="s">
        <v>193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5"/>
      <c r="AP31" s="35"/>
      <c r="AQ31" s="35"/>
      <c r="AR31" s="23"/>
      <c r="AS31" s="23"/>
      <c r="AT31" s="23"/>
      <c r="AU31" s="23"/>
      <c r="AV31" s="23"/>
      <c r="AW31" s="23"/>
      <c r="AX31" s="23"/>
      <c r="AY31" s="23"/>
      <c r="AZ31" s="140" t="s">
        <v>215</v>
      </c>
      <c r="BA31" s="140"/>
      <c r="BB31" s="140"/>
      <c r="BC31" s="140"/>
      <c r="BD31" s="140" t="s">
        <v>196</v>
      </c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</row>
    <row r="32" spans="1:67" ht="12.75" customHeight="1">
      <c r="A32" s="44"/>
      <c r="B32" s="49"/>
      <c r="C32" s="41" t="s">
        <v>195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140" t="s">
        <v>215</v>
      </c>
      <c r="BA32" s="140"/>
      <c r="BB32" s="140"/>
      <c r="BC32" s="140"/>
      <c r="BD32" s="141" t="s">
        <v>202</v>
      </c>
      <c r="BE32" s="141"/>
      <c r="BF32" s="141"/>
      <c r="BG32" s="141"/>
      <c r="BH32" s="140"/>
      <c r="BI32" s="140"/>
      <c r="BJ32" s="140"/>
      <c r="BK32" s="31"/>
      <c r="BL32" s="142"/>
      <c r="BM32" s="143"/>
      <c r="BN32" s="143"/>
      <c r="BO32" s="144"/>
    </row>
    <row r="33" spans="1:67" ht="15" customHeight="1">
      <c r="A33" s="42">
        <v>13</v>
      </c>
      <c r="B33" s="43" t="s">
        <v>216</v>
      </c>
      <c r="C33" s="41" t="s">
        <v>193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145" t="s">
        <v>217</v>
      </c>
      <c r="BA33" s="145"/>
      <c r="BB33" s="145"/>
      <c r="BC33" s="145"/>
      <c r="BD33" s="141" t="s">
        <v>195</v>
      </c>
      <c r="BE33" s="141"/>
      <c r="BF33" s="141"/>
      <c r="BG33" s="141"/>
      <c r="BH33" s="146" t="s">
        <v>218</v>
      </c>
      <c r="BI33" s="146"/>
      <c r="BJ33" s="146"/>
      <c r="BK33" s="146"/>
      <c r="BL33" s="147" t="s">
        <v>219</v>
      </c>
      <c r="BM33" s="147"/>
      <c r="BN33" s="147"/>
      <c r="BO33" s="147"/>
    </row>
    <row r="34" spans="1:67" ht="21.75" customHeight="1">
      <c r="A34" s="42"/>
      <c r="B34" s="50"/>
      <c r="C34" s="41" t="s">
        <v>195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145"/>
      <c r="BA34" s="145"/>
      <c r="BB34" s="145"/>
      <c r="BC34" s="145"/>
      <c r="BD34" s="141"/>
      <c r="BE34" s="141"/>
      <c r="BF34" s="141"/>
      <c r="BG34" s="141"/>
      <c r="BH34" s="146"/>
      <c r="BI34" s="146"/>
      <c r="BJ34" s="146"/>
      <c r="BK34" s="146"/>
      <c r="BL34" s="147"/>
      <c r="BM34" s="147"/>
      <c r="BN34" s="147"/>
      <c r="BO34" s="147"/>
    </row>
    <row r="35" spans="1:67">
      <c r="A35" s="25"/>
      <c r="B35" s="35" t="s">
        <v>220</v>
      </c>
      <c r="C35" s="51" t="s">
        <v>221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134"/>
      <c r="BA35" s="134"/>
      <c r="BB35" s="23"/>
      <c r="BC35" s="23"/>
      <c r="BD35" s="134"/>
      <c r="BE35" s="134"/>
      <c r="BF35" s="23"/>
      <c r="BG35" s="23"/>
      <c r="BH35" s="134"/>
      <c r="BI35" s="134"/>
      <c r="BJ35" s="134"/>
      <c r="BK35" s="23"/>
      <c r="BL35" s="135"/>
      <c r="BM35" s="136"/>
      <c r="BN35" s="136"/>
      <c r="BO35" s="137"/>
    </row>
    <row r="36" spans="1:67">
      <c r="A36" s="25"/>
      <c r="B36" s="138" t="s">
        <v>222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9" t="s">
        <v>223</v>
      </c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</row>
    <row r="37" spans="1:67">
      <c r="A37" s="25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</row>
    <row r="38" spans="1:67">
      <c r="A38" s="25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</row>
    <row r="41" spans="1:67">
      <c r="C41" s="132" t="s">
        <v>224</v>
      </c>
      <c r="D41" s="133" t="s">
        <v>225</v>
      </c>
      <c r="E41" s="133"/>
      <c r="F41" s="133" t="s">
        <v>226</v>
      </c>
      <c r="G41" s="133"/>
    </row>
    <row r="42" spans="1:67">
      <c r="C42" s="132"/>
      <c r="D42" s="52" t="s">
        <v>41</v>
      </c>
      <c r="E42" s="52" t="s">
        <v>36</v>
      </c>
      <c r="F42" s="52" t="s">
        <v>41</v>
      </c>
      <c r="G42" s="52" t="s">
        <v>36</v>
      </c>
    </row>
    <row r="43" spans="1:67">
      <c r="C43" s="50" t="s">
        <v>175</v>
      </c>
      <c r="D43" s="53">
        <v>0</v>
      </c>
      <c r="E43" s="54">
        <f>+D43*100/$D$55</f>
        <v>0</v>
      </c>
      <c r="F43" s="53">
        <v>0</v>
      </c>
      <c r="G43" s="24">
        <f>+F43*100/$D$55</f>
        <v>0</v>
      </c>
    </row>
    <row r="44" spans="1:67">
      <c r="C44" s="23" t="s">
        <v>176</v>
      </c>
      <c r="D44" s="24">
        <v>1</v>
      </c>
      <c r="E44" s="54">
        <f>+D44*100/$D$55</f>
        <v>7.6923076923076925</v>
      </c>
      <c r="F44" s="24">
        <v>1</v>
      </c>
      <c r="G44" s="24">
        <f>+F44*100/$D$55</f>
        <v>7.6923076923076925</v>
      </c>
    </row>
    <row r="45" spans="1:67">
      <c r="C45" s="50" t="s">
        <v>177</v>
      </c>
      <c r="D45" s="24">
        <v>4</v>
      </c>
      <c r="E45" s="54">
        <f t="shared" ref="E45:E54" si="0">+D45*100/$D$55</f>
        <v>30.76923076923077</v>
      </c>
      <c r="F45" s="24">
        <v>0</v>
      </c>
      <c r="G45" s="24">
        <f>+F45*100/$D$55</f>
        <v>0</v>
      </c>
    </row>
    <row r="46" spans="1:67">
      <c r="C46" s="23" t="s">
        <v>178</v>
      </c>
      <c r="D46" s="24">
        <v>0</v>
      </c>
      <c r="E46" s="54">
        <f t="shared" si="0"/>
        <v>0</v>
      </c>
      <c r="F46" s="24">
        <v>0</v>
      </c>
      <c r="G46" s="24">
        <v>0</v>
      </c>
    </row>
    <row r="47" spans="1:67">
      <c r="C47" s="50" t="s">
        <v>179</v>
      </c>
      <c r="D47" s="24">
        <v>0</v>
      </c>
      <c r="E47" s="54">
        <f t="shared" si="0"/>
        <v>0</v>
      </c>
      <c r="F47" s="24">
        <v>0</v>
      </c>
      <c r="G47" s="24">
        <v>0</v>
      </c>
    </row>
    <row r="48" spans="1:67">
      <c r="C48" s="23" t="s">
        <v>180</v>
      </c>
      <c r="D48" s="24">
        <v>0</v>
      </c>
      <c r="E48" s="54">
        <f t="shared" si="0"/>
        <v>0</v>
      </c>
      <c r="F48" s="24">
        <v>0</v>
      </c>
      <c r="G48" s="24">
        <v>0</v>
      </c>
    </row>
    <row r="49" spans="3:7">
      <c r="C49" s="50" t="s">
        <v>181</v>
      </c>
      <c r="D49" s="24">
        <v>1</v>
      </c>
      <c r="E49" s="54">
        <f t="shared" si="0"/>
        <v>7.6923076923076925</v>
      </c>
      <c r="F49" s="24">
        <v>1</v>
      </c>
      <c r="G49" s="24">
        <v>8</v>
      </c>
    </row>
    <row r="50" spans="3:7">
      <c r="C50" s="23" t="s">
        <v>182</v>
      </c>
      <c r="D50" s="24">
        <v>1</v>
      </c>
      <c r="E50" s="54">
        <f t="shared" si="0"/>
        <v>7.6923076923076925</v>
      </c>
      <c r="F50" s="24">
        <v>0</v>
      </c>
      <c r="G50" s="24">
        <v>0</v>
      </c>
    </row>
    <row r="51" spans="3:7">
      <c r="C51" s="50" t="s">
        <v>183</v>
      </c>
      <c r="D51" s="24">
        <v>2</v>
      </c>
      <c r="E51" s="54">
        <f t="shared" si="0"/>
        <v>15.384615384615385</v>
      </c>
      <c r="F51" s="24">
        <v>3</v>
      </c>
      <c r="G51" s="24">
        <v>24</v>
      </c>
    </row>
    <row r="52" spans="3:7">
      <c r="C52" s="23" t="s">
        <v>184</v>
      </c>
      <c r="D52" s="24">
        <v>1</v>
      </c>
      <c r="E52" s="54">
        <f t="shared" si="0"/>
        <v>7.6923076923076925</v>
      </c>
      <c r="F52" s="24"/>
      <c r="G52" s="24"/>
    </row>
    <row r="53" spans="3:7">
      <c r="C53" s="50" t="s">
        <v>185</v>
      </c>
      <c r="D53" s="24">
        <v>2</v>
      </c>
      <c r="E53" s="54">
        <f t="shared" si="0"/>
        <v>15.384615384615385</v>
      </c>
      <c r="F53" s="24"/>
      <c r="G53" s="24"/>
    </row>
    <row r="54" spans="3:7">
      <c r="C54" s="23" t="s">
        <v>186</v>
      </c>
      <c r="D54" s="24">
        <v>1</v>
      </c>
      <c r="E54" s="54">
        <f t="shared" si="0"/>
        <v>7.6923076923076925</v>
      </c>
      <c r="F54" s="24"/>
      <c r="G54" s="24"/>
    </row>
    <row r="55" spans="3:7">
      <c r="C55" s="23"/>
      <c r="D55" s="53">
        <f>SUM(D43:D54)</f>
        <v>13</v>
      </c>
      <c r="E55" s="53">
        <f>SUM(E43:E54)</f>
        <v>100</v>
      </c>
      <c r="F55" s="24">
        <v>5</v>
      </c>
      <c r="G55" s="24">
        <v>40</v>
      </c>
    </row>
  </sheetData>
  <mergeCells count="122">
    <mergeCell ref="X4:AA4"/>
    <mergeCell ref="AB4:AE4"/>
    <mergeCell ref="AF4:AI4"/>
    <mergeCell ref="AJ4:AM4"/>
    <mergeCell ref="AN4:AQ4"/>
    <mergeCell ref="AR4:AU4"/>
    <mergeCell ref="A1:BO2"/>
    <mergeCell ref="A3:A5"/>
    <mergeCell ref="B3:B5"/>
    <mergeCell ref="D3:AY3"/>
    <mergeCell ref="AZ3:BO3"/>
    <mergeCell ref="D4:G4"/>
    <mergeCell ref="H4:K4"/>
    <mergeCell ref="L4:O4"/>
    <mergeCell ref="P4:S4"/>
    <mergeCell ref="T4:W4"/>
    <mergeCell ref="AV4:AY4"/>
    <mergeCell ref="AZ4:BC4"/>
    <mergeCell ref="BD4:BG4"/>
    <mergeCell ref="BH4:BK4"/>
    <mergeCell ref="BL4:BO4"/>
    <mergeCell ref="AZ5:BC5"/>
    <mergeCell ref="BD5:BG5"/>
    <mergeCell ref="BH5:BK5"/>
    <mergeCell ref="BL5:BO5"/>
    <mergeCell ref="A8:A9"/>
    <mergeCell ref="B8:B9"/>
    <mergeCell ref="AZ8:BC9"/>
    <mergeCell ref="BD8:BG9"/>
    <mergeCell ref="BH8:BK9"/>
    <mergeCell ref="BL8:BO9"/>
    <mergeCell ref="A6:A7"/>
    <mergeCell ref="B6:B7"/>
    <mergeCell ref="AZ6:BC7"/>
    <mergeCell ref="BD6:BG7"/>
    <mergeCell ref="BH6:BK7"/>
    <mergeCell ref="BL6:BO7"/>
    <mergeCell ref="B10:B11"/>
    <mergeCell ref="AZ10:BC10"/>
    <mergeCell ref="BD10:BG10"/>
    <mergeCell ref="BH10:BK10"/>
    <mergeCell ref="BL10:BO10"/>
    <mergeCell ref="B12:B13"/>
    <mergeCell ref="AZ12:BC12"/>
    <mergeCell ref="BD12:BG12"/>
    <mergeCell ref="BH12:BK12"/>
    <mergeCell ref="BL12:BO12"/>
    <mergeCell ref="AZ14:BC14"/>
    <mergeCell ref="BD14:BG14"/>
    <mergeCell ref="BH14:BK14"/>
    <mergeCell ref="BL14:BO14"/>
    <mergeCell ref="B16:B17"/>
    <mergeCell ref="AZ16:BC16"/>
    <mergeCell ref="BD16:BG16"/>
    <mergeCell ref="BH16:BK16"/>
    <mergeCell ref="BL16:BO16"/>
    <mergeCell ref="AZ17:BA17"/>
    <mergeCell ref="BD17:BE17"/>
    <mergeCell ref="BH17:BJ17"/>
    <mergeCell ref="BL17:BO17"/>
    <mergeCell ref="A18:A19"/>
    <mergeCell ref="B18:B19"/>
    <mergeCell ref="AZ18:BC19"/>
    <mergeCell ref="BD18:BG18"/>
    <mergeCell ref="BH18:BK18"/>
    <mergeCell ref="BL18:BO18"/>
    <mergeCell ref="BD19:BG19"/>
    <mergeCell ref="AZ21:BC21"/>
    <mergeCell ref="BD21:BG21"/>
    <mergeCell ref="BH21:BK21"/>
    <mergeCell ref="BL21:BO21"/>
    <mergeCell ref="AZ23:BC23"/>
    <mergeCell ref="BD23:BG23"/>
    <mergeCell ref="BH23:BK23"/>
    <mergeCell ref="BL23:BO23"/>
    <mergeCell ref="BH19:BK19"/>
    <mergeCell ref="BL19:BO19"/>
    <mergeCell ref="AZ20:BC20"/>
    <mergeCell ref="BD20:BG20"/>
    <mergeCell ref="BH20:BK20"/>
    <mergeCell ref="BL20:BO20"/>
    <mergeCell ref="AZ28:BA28"/>
    <mergeCell ref="BD28:BE28"/>
    <mergeCell ref="BH28:BJ28"/>
    <mergeCell ref="BL28:BO28"/>
    <mergeCell ref="AZ29:BC29"/>
    <mergeCell ref="BD29:BG29"/>
    <mergeCell ref="BH29:BK29"/>
    <mergeCell ref="BL29:BO29"/>
    <mergeCell ref="AZ25:BC25"/>
    <mergeCell ref="BD25:BG25"/>
    <mergeCell ref="BH25:BK25"/>
    <mergeCell ref="BL25:BO25"/>
    <mergeCell ref="AZ27:BC27"/>
    <mergeCell ref="BD27:BG27"/>
    <mergeCell ref="BH27:BK27"/>
    <mergeCell ref="BL27:BO27"/>
    <mergeCell ref="AZ32:BC32"/>
    <mergeCell ref="BD32:BG32"/>
    <mergeCell ref="BH32:BJ32"/>
    <mergeCell ref="BL32:BO32"/>
    <mergeCell ref="AZ33:BC34"/>
    <mergeCell ref="BD33:BG34"/>
    <mergeCell ref="BH33:BK34"/>
    <mergeCell ref="BL33:BO34"/>
    <mergeCell ref="AZ30:BC30"/>
    <mergeCell ref="BD30:BE30"/>
    <mergeCell ref="BH30:BJ30"/>
    <mergeCell ref="BL30:BO30"/>
    <mergeCell ref="AZ31:BC31"/>
    <mergeCell ref="BD31:BG31"/>
    <mergeCell ref="BH31:BK31"/>
    <mergeCell ref="BL31:BO31"/>
    <mergeCell ref="C41:C42"/>
    <mergeCell ref="D41:E41"/>
    <mergeCell ref="F41:G41"/>
    <mergeCell ref="AZ35:BA35"/>
    <mergeCell ref="BD35:BE35"/>
    <mergeCell ref="BH35:BJ35"/>
    <mergeCell ref="BL35:BO35"/>
    <mergeCell ref="B36:AY38"/>
    <mergeCell ref="AZ36:BO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TATASTEEL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Prasad Jaiswal</dc:creator>
  <cp:keywords/>
  <dc:description/>
  <cp:lastModifiedBy>Sunil Kumar Vikramannair</cp:lastModifiedBy>
  <cp:revision/>
  <dcterms:created xsi:type="dcterms:W3CDTF">2026-05-25T11:48:48Z</dcterms:created>
  <dcterms:modified xsi:type="dcterms:W3CDTF">2026-06-25T09:38:04Z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2026-05-25T11:49:24Z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105cdc1c-e843-40d2-9690-93722fe6df40</vt:lpwstr>
  </property>
  <property fmtid="{D5CDD505-2E9C-101B-9397-08002B2CF9AE}" pid="8" name="MSIP_Label_2f50afb6-ab6e-4e8b-96b5-6e00ab52e29e_ContentBits">
    <vt:lpwstr>0</vt:lpwstr>
  </property>
</Properties>
</file>